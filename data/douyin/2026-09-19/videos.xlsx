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pyh/Documents/Program/My Site/data/douyin/2026-09-19/"/>
    </mc:Choice>
  </mc:AlternateContent>
  <xr:revisionPtr revIDLastSave="0" documentId="13_ncr:1_{5C06394F-F20C-644F-8088-C5490ED9E5A2}" xr6:coauthVersionLast="47" xr6:coauthVersionMax="47" xr10:uidLastSave="{00000000-0000-0000-0000-000000000000}"/>
  <bookViews>
    <workbookView xWindow="11840" yWindow="5660" windowWidth="35580" windowHeight="21500" tabRatio="20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9" i="1" l="1"/>
  <c r="L49" i="1"/>
  <c r="M49" i="1"/>
  <c r="N49" i="1"/>
  <c r="O49" i="1"/>
  <c r="P49" i="1"/>
  <c r="K48" i="1"/>
  <c r="L48" i="1"/>
  <c r="M48" i="1"/>
  <c r="N48" i="1"/>
  <c r="O48" i="1"/>
  <c r="P48" i="1"/>
  <c r="K47" i="1"/>
  <c r="L47" i="1"/>
  <c r="M47" i="1"/>
  <c r="N47" i="1"/>
  <c r="O47" i="1"/>
  <c r="P47" i="1"/>
  <c r="E49" i="1"/>
  <c r="E47" i="1"/>
  <c r="E48" i="1"/>
</calcChain>
</file>

<file path=xl/sharedStrings.xml><?xml version="1.0" encoding="utf-8"?>
<sst xmlns="http://schemas.openxmlformats.org/spreadsheetml/2006/main" count="206" uniqueCount="116">
  <si>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</si>
  <si>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</si>
  <si>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</si>
  <si>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</si>
  <si>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</si>
  <si>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</si>
  <si>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</si>
  <si>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</si>
  <si>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</si>
  <si>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</si>
  <si>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</si>
  <si>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</si>
  <si>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</si>
  <si>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</si>
  <si>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</si>
  <si>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</si>
  <si>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Apple Music 音乐家界面太优雅 iOS27不仅更新了流行歌手的个人界面，古典音乐家的界面也迎来大更新
音乐家有签名字体的名字（考察了一下，是参照真迹的），以及特殊绘制的优雅的音乐家画像
Apple Music真是太艺术了！ 
#ios27 #applemusic #古典音乐 #贝多芬 #莫扎特</t>
  </si>
  <si>
    <t>2026-09-19 11:31:04</t>
  </si>
  <si>
    <t>1-3min视频</t>
  </si>
  <si>
    <t>公开</t>
  </si>
  <si>
    <t>-</t>
  </si>
  <si>
    <t>Apple Music歌手新页面集合3。more and more歌手页面
布兰妮和Jennie的页面真的好美😍
#ios27 #applemusic #jennie #布兰妮 #欧美音乐</t>
  </si>
  <si>
    <t>2026-09-16 13:22:10</t>
  </si>
  <si>
    <t>3-5min视频</t>
  </si>
  <si>
    <t>Apple Music歌手新页面集合2 盘点更多歌手的个性化字体与好看的界面
Lisa、比伯、戳爷、查理小程序的新字体都是最近才上的
麦粒为了迎接新专辑，又更新了一版字体 
#ios27 #applemusic #lisa #justinbieber #戳爷</t>
  </si>
  <si>
    <t>2026-09-15 12:07:43</t>
  </si>
  <si>
    <t>Apple Music歌手新页面集合1 iOS27今天发布！Apple Music 歌手页面迎来重大更新
背景颜色更加沉浸
很多歌手还更新了各自 era 的独特字体！ 
#ios27 #applemusic #霉霉 #啪姐 #火星哥</t>
  </si>
  <si>
    <t>2026-09-14 11:50:36</t>
  </si>
  <si>
    <t>Blank Space 空白格鼓组还原 上次空白格全曲编曲还原视频中，鼓的部分没有详细展开
我用了很多层鼓，所以轨道非常多
单独放在这一期啦！
#编曲 #taylorswift #霉霉 #blankspace #欧美音乐</t>
  </si>
  <si>
    <t>2026-09-13 14:35:48</t>
  </si>
  <si>
    <t>Blank Space 空白格编曲还原 当我用 Logic Pro 还原芭酒编曲的经济上行之美
 #taylorswift #霉霉 #编曲制作 #新手编曲 #blankspace</t>
  </si>
  <si>
    <t>2026-09-10 15:26:41</t>
  </si>
  <si>
    <t>Apple Music动态封面Ep31 流行圣经的封面也是经典中的经典 
🎧封面信息：
1989 - Taylor Swift
十年一刻(苏打绿版) - 苏打绿
9 to 5 and Odd Jobs - Dolly Parton
Carrie &amp; Lowell (10th Anniversary Edition) - Sufjan Stevens
This Leaks - Lil Baby
Takin’ It Back - Meghan Trainor
Gemini Rights - Steve Lacy
The Odyssey (Original Motion Picture Soundtrack) - Ludwig Göransson
West End Girl - Lily Allen
The Emancipation Of Mimi - Mariah Carey 
#applemusic #taylorswift #霉霉 #苏打绿 #奥德赛</t>
  </si>
  <si>
    <t>2026-09-09 22:05:20</t>
  </si>
  <si>
    <t>图文</t>
  </si>
  <si>
    <t>Apple Music动态封面Ep30 黄色的封面都很元气有活力啊 
💛封面信息：
Doo-Wops &amp; Hooligans （Deluxe） - Bruno Mars
Fearless - Taylor Swift
- (Deluxe) - Ed Sheeran
Addison - Addison Rae
Hello Future - The 1st Album Repackage - NCT DREAM
beerbongs &amp; bentleys - Post Malone
Magical Mystery Tour - The Beatles
Cheese - CRAVITY
Found Heaven - Conan Gray
Jubilee - Japanese Breakfast
Nine Track Mind - Charlie Puth 
#applemusic #欧美音乐 #taylorswift #火星哥 #edsheeran</t>
  </si>
  <si>
    <t>2026-09-06 13:39:44</t>
  </si>
  <si>
    <t>360 编曲还原 最近合成器水平有所进步，用Serum搓了360的标志性合成器（像弹球一样有弹性）
并且做完了360整首歌的编曲
brat真的怎么听都听不腻，查理小程序yyds 
#编曲制作 #新手编曲 #charlixcx #brat #360</t>
  </si>
  <si>
    <t>2026-08-31 14:37:56</t>
  </si>
  <si>
    <t>Apple Music动态封面Ep29 盘点极简到裤衩都不剩的动态封面 
💚封面信息：
BRAT - Charli xcx
BORN PINK - BLACKPINK
The Beatles (The White Album) - The Beatles
We are - i-dle
Metallica - Metallica
SABLE, fABLE - Bon Iver
Doctor (Work It Out) - Pharrell Williams &amp; Miley Cyrus
Atavista - Childish Gambino
梦 - 窦唯
Low-Life (Definitive) - New Order
4:44 - JAŸ-Z 
#applemusic #blackpink #idle #charlixcx #披头士</t>
  </si>
  <si>
    <t>2026-08-30 14:22:09</t>
  </si>
  <si>
    <t>BIRDS OF A FEATHER 鸟毛编曲还原 自学了两个星期编曲，尝试制作还原碧梨🍐的鸟毛
不过还没有学过任何混音和母带的知识
感觉有很多不足，感谢大家提建议 
参考了碧梨哥哥的编曲讲解，兄妹俩简直是天才 
#编曲 #欧美音乐 #碧梨billie #billieeilish #birdsofafeather</t>
  </si>
  <si>
    <t>2026-08-09 12:12:40</t>
  </si>
  <si>
    <t>Apple Music抽象封面1 各种飞虫走兽大赏，审美积累中(
虽然不少好歌，但是封面是真丑🤮 
🪳封面信息+锐评：
FROM FLORIDA’S FINEST - SAILORR（被蟑螂吓晕，人类是虫虫进化来的石锤）
Avril Lavigne (Expanded Edition) - Avril Lavigne（死亡眼👩‍🎤）
UTOPIA - Travis Scott（变脸成妖精）
"Awaken, My Love!" - Childish Gambino（黑人翻白眼，感觉有被冒犯）
moisturizer - Wet Leg（听说是格莱美最佳封面提名😅glmsl）
Like…? - Ice Spice（月工穴痒痒）
Sexistential - Robyn（裸女发疯）
Missionary - Snoop Dogg &amp; Dr. Dre（我嘞个毕云涛计划生育超绝概念）
Lovedrive - Scorpions（不要乱搞人家赖赖）
TRENCH - AUDREY NUNA（让洛老奶来看看牙吧）
SOS Deluxe: LANA - SZA（蟑螂x2） 
#applemusic #欧美音乐 #审美积累 #抽象 #艾薇儿</t>
  </si>
  <si>
    <t>2026-08-04 16:14:59</t>
  </si>
  <si>
    <t>Apple Music动态封面Ep28 八月到啦！盘点超有夏日感和度假风的动态封面🏖️  
🌴专辑信息：
Solar Power - Lorde
Endless Summer Vacation - Miley Cyrus
AUSTIN - Post Malone
Diamonds &amp; Dancefloors - Ava Max
Good Things - Dan + Shay
Surfer Girl - The Beach Boys
JOSE - J Balvin
Guy - Jayda G
On the Beach - Neil Young
My Type - Saint Motel
Location - She Her Her Hers 
#applemusic #英文歌曲推荐 #欧美歌曲 #夏天 #lorde</t>
  </si>
  <si>
    <t>2026-08-02 16:22:57</t>
  </si>
  <si>
    <t>Apple Music动态封面Ep27 A妹新专的动态封面有点敷衍啊😅 
🌼专辑信息：
petal - Ariana Grande
NJWMX - NewJeans
Jasmine - 蔡徐坤
I Said I Love You First - Selena Gomez, benny blanco
Rumours - Fleetwood Mac
Javelin - Sufjan Stevens
Breach - twenty one pilots
滚石香港黄金十年-周华健精选 - 周华健
Oppenheimer (Original Motion Picture Soundtrack) - Ludwig Göransson
Diet Pepsi - Addison Rae
Detour - Kim Petras 
#applemusic #欧美音乐 #arianagrande #newjeans #蔡徐坤</t>
  </si>
  <si>
    <t>2026-07-31 14:52:38</t>
  </si>
  <si>
    <t>Apple Music动态封面Ep26 嗑嗑霉霉和查理小程序的吉娃娃cp🐶Actually romantic 
🌌专辑信息：
Midnights - Taylor Swift
Music, Fashion, Film - Charli xcx
TEN: The Story Goes On - TWICE
The Eminem Show (Expanded Edition) - Eminem
Rainbow - Mariah Carey
Let It Bleed (Remastered 2019) - The Rolling Stones
Finally Over It (The Afterparty) - Summer Walker
ADAM - Adam Lambert
The Joshua Tree - U2
WOR$T GIRL IN AMERICA - Slayyyter
黑色柳丁 - 陶喆 
#applemusic #欧美音乐 #taylorswift #陶喆 #twice</t>
  </si>
  <si>
    <t>2026-07-29 15:22:02</t>
  </si>
  <si>
    <t>Apple Music动态封面Ep25 更新娅乐！闺心忧郁！高悬娅娅！ 
☁️专辑信息：
you seem pretty sad for a girl so in love - Olivia  Rodrigo
周杰伦地表最强世界巡回演唱会 (Live) - 周杰伦
Dawn Of Chromatica - Lady Gaga
MEGAN - Megan Thee Stallion
Free Spirit - Khalid
Clancy - twenty one pilots
Larger Than Life - Brent Faiyaz
All Eyez On Me - 2Pac
656 - Roc Marciano
i used to think i could fly - Tate McRae
珍珠刑 - 魏如萱 
#applemusic #周杰伦 #ladygaga #魏如萱 #oliviarodrigo</t>
  </si>
  <si>
    <t>2026-07-27 17:05:51</t>
  </si>
  <si>
    <t>Apple Music动态封面Ep24 夏天到啦☀️盘点充满夏日感的动态封面！ 
☕️专辑信息：
Short n' Sweet - Sabrina Carpenter
Radical Optimism - Dua Lipa
Vie - Doja Cat
夏/狂热(苏打绿版) - 苏打绿
Midnight Sun - Zara Larsson
F-1 Trillion - Post Malone
HOLIDAY - WINNER
Pet Sounds - The Beach Boy
TYLA + - Tyla
夏之风物诗 - 林家谦
打ち上げ花火 - DAOKO 
#applemusic #欧美音乐 #sabrinacarpenter #苏打绿 #dualipa</t>
  </si>
  <si>
    <t>2026-07-24 15:48:35</t>
  </si>
  <si>
    <t>Apple Music动态封面Ep23 萌德Wonder封面是神不接受反驳！ 
🌊专辑信息：
Wonder - Shawn Mendes
30 - Adele
BEAUTIFUL CHAOS - KATSEYE
METRO BOOMIN PRESENTS SPIDER-MAN: ACROSS THE SPIDER-VERSE (SOUNDTRACK FROM AND INSPIRED BY THE MOTION PICTURE) - Metro Boomin
Britney Jean - Britney Spears
橄榄树 - 齐豫
The Great Divide - Noah Kahan
ghosted - Saint Harison
有问题 - 张震岳
This Is How Tomorrow Moves - beabadoobee
ICEMAN - Drake 
#applemusic #ios #adele #katseye #齐豫</t>
  </si>
  <si>
    <t>2026-06-09 13:04:41</t>
  </si>
  <si>
    <t>Apple Music动态封面Ep22 被国国的动态封面帅一跳 
🎤专辑信息：
Golden - Jung Kook
Houdini - Dua Lipa
Heavy Serenade - NMIXX
Heaven knows - PinkPantheress
Encanto (Original Motion Picture Soundtrack) - Lin-Manuel Miranda, Germaine Franco, Encanto - Cast
No Hard Feelings - The Chainsmokers
The Maybe Man - AJR
I Cry When I Laugh - Jess Glynne
垃圾场 - 何勇
LABRINTH, SIA &amp; DIPLO PRESENT…LSD - LSD
Virgin - Lorde 
#applemusic #防弹少年团 #田柾国 #nmixx #dualipa</t>
  </si>
  <si>
    <t>2026-05-26 18:45:31</t>
  </si>
  <si>
    <t>Apple Music全屏不动态封面3 | 🖤黑色全屏封面超酷的！ 
🖤专辑信息：
WHEN WE ALL FALL ASLEEP, WHERE DO WE GO? - Billie Eilish
Scorpion - Drake
Black Panther: The Album - Kendrick Lamar
Donda - Kanye West
CUFF IT - Beyoncé
The Black Album - JAŸ-Z
More Life - Drake
The Lion King: The Gift - Beyoncé
Wiped Out! - The Neighbourhood
So Far Gone - Drake 
#applemusic #碧梨 #drake #kendricklamar #碧昂斯</t>
  </si>
  <si>
    <t>2026-05-23 18:00:42</t>
  </si>
  <si>
    <t>1min-视频</t>
  </si>
  <si>
    <t>Apple Music动态封面Ep21 💃🏻专辑信息：
Thriller - Michael Jackson
춤 (CHOOM) - BABYMONSTER
The Devil Wears Prada 2 (Music From The Motion Picture) - Lady Gaga, Doechii, SIENNA SPIRO, Izzy Escobar
Plastic Hearts - Miley Cyrus
The 20/20 Experience (Deluxe Version) - Justin Timberlake
Superman - 曹格
Middle of Nowhere - Kacey Musgraves
B.o.B Presents: The Adventures of Bobby Ray - B.o.B
Scaled And Icy - twenty one pilots
Ivory - Omar Apollo
Dangerous Woman - Ariana Grande 
#applemusic #迈克尔杰克逊 #babymonster #穿普拉达的女王 #曹格</t>
  </si>
  <si>
    <t>2026-05-22 16:04:16</t>
  </si>
  <si>
    <t>Apple Music动态封面Ep20 SOUR 的动态封面很好看！gxyy！个性影音！
好多小伙伴推荐娅娅新专辑的动态封面，我会在新专发布那一周把娅娅新专的动态封面放到视频里哒！更新娅音！ 
🎵专辑信息：
SOUR - Olivia Rodrigo
Butterfly: 25th Anniversary Expanded Edition - Mariah Carey
Dreamland - Glass Animals
朋友 - 周华健
CAPRISONGS - FKA twigs
American Beauty / American Psycho - Fall Out Boy
Nellyville - Nelly
Never Say Never - Brandy
Deus Ex Machina - 珂拉琪 Collage
LOVE IN STEREO - MAX
ANTI - Rihanna 
#applemusic #娅娅 #oliviarodrigo #mariahcarey #周华健</t>
  </si>
  <si>
    <t>2026-05-19 13:07:32</t>
  </si>
  <si>
    <t>2026-05-09 12:22:52</t>
  </si>
  <si>
    <t>Apple Music动态封面Ep18 豆荚猫的封面封神了! 
🥷专辑信息：
Planet Her - Doja Cat
Dark Lane Demo Tapes - Drake
Rockstar - LISA
I'm Alive - 王力宏
My 21st Century Blues - RAYE
Whatever's Clever! - Charlie Puth
Like a Prayer - Madonna
Zaba - Glass Animals
娱乐世界 - 林强
Woodstock - Portugal. The Man
The Art of Loving - Olivia Dean 
#applemusic #王力宏 #lisa #dojacat #drake</t>
  </si>
  <si>
    <t>2026-04-22 13:29:38</t>
  </si>
  <si>
    <t>Apple Music全屏不动态封面2 | 全屏封面就算不动依然很好看有没有懂的 
🎧专辑信息：
专辑信息：
Starboy - The Weeknd
My Beautiful Dark Twisted Fantasy - Kanye West
hopeless fountain kingdom (Deluxe) - Halsey
Channel ORANGE - Frank Ocean
The Life of Pablo - Kanye West
Heaven &amp; Hell - Ava Max
Survivor (International Edition) - Destiny’s Child
Teenage Dream: The Complete Confection
I Hate U - SZA
House of Balloons (Original) - The Weeknd
TIM - Avicii 
#applemusic #theweeknd #侃爷 #kanye #水果姐</t>
  </si>
  <si>
    <t>2026-04-17 10:12:03</t>
  </si>
  <si>
    <t>Apple Music动态封面Ep17 上期许愿环节许了周杰伦太阳之子的动态封面，结果第二天就上了动态封面啦！ 
⛪️专辑信息：
太阳之子 - 周杰伦
THIS IS FOR - TWICE
Fancy Some More? - PinkPantheress
1000 Forms of Fear - Sia
Eternal Atake (Deluxe) - LUV vs. The World 2 - Lil Uzi Vert
The Diary of Alicia Keys - Alicia Keys
My First Flip - KickFlip
Vessel - twenty one pilots
OK ORCHESTRA - AJR
Ricochet - Snail Mail
ARIRANG - BTS 
#applemusic #周杰伦 #防弹少年团 #twice #sia</t>
  </si>
  <si>
    <t>2026-04-09 06:52:36</t>
  </si>
  <si>
    <t>Apple Music动态封面Ep16 披头士传世封面也有动态！ 
🎵专辑信息：
Abbey Road - The Beatles
Memories…Do Not Open - The Chainsmokers
emails I can't send - Sabrina Carpenter
emails I can't send fwd: - Sabrina Carpenter
Girls - The 2nd Mini Album - aespa
就是莫文蔚 - 莫文蔚
OCTANE - Don Toliver
The Way I Am - Luke Combs
Candydrip - Lucky Daye
Clouds - Joni Mitchell
太阳之子 - 周杰伦 
#applemusic #周杰伦 #周杰伦新歌 #aespa #sabrinacarpenter</t>
  </si>
  <si>
    <t>2026-04-01 18:46:52</t>
  </si>
  <si>
    <t>Apple Music全屏不动态封面1 | 苹果在为新功能做准备？ 
Apple Music更新了好多全屏不动态封面，虽然有全屏效果，但是完全不会动
这是在为新功能做准备吗？还是说这些专辑之后要出动态封面？ 
🎧专辑信息：
thank u, next - Ariana Grande
Love Yourself 結 'Answer' - BTS
IGOR - Tyler, The Creator
Harleys in Hawaii - Katy Perry
Pink Friday - Nicki Minaj
Fine Line - Harry Styles
LOVE DIVE - IVE
JESUS IS KING - Kanye West
Scary Hours 2 - Drake 
#applemusic #a妹 #bts #防弹少年团 #水果姐</t>
  </si>
  <si>
    <t>2026-03-20 20:46:10</t>
  </si>
  <si>
    <t>部分可见</t>
  </si>
  <si>
    <t>Apple Music动态封面Ep15 Apple Music最近上新了好多新的动态封面，包括啪姐的未来乡愁，你觉得好看吗？ 
💃🏻专辑信息：
Future Nostalgia - Dua Lipa
Proof - BTS
LINK - A-Lin
Blurryface - twenty one pilots
In the Zone - Britney Spears
Everyday Life- Coldplay
Coco (Original Motion Picture Soundtrack) - 群星
MOTOMAMI - ROSALÍA
Speakerboxxx/The Love Below - Outkast
That! Feels Good! - Jessie Ware
Teenage Dream - Katy Perry 
#applemusic #dualipa #BTS #防弹少年团 #alin黄丽玲</t>
  </si>
  <si>
    <t>2026-03-18 21:22:03</t>
  </si>
  <si>
    <t>Apple Music动态封面Ep14 Super Shy的动态封面的飞天小女警封面好可爱！ 
🎵专辑信息：
Super Shy - NewJeans
So Close To What - Tate McRae
american dream - 21 Savage
Songs in the Key of Life - Stevie Wonder
EUPHORIA - ALPHA DRIVE ONE
She's So Unusual - Cyndi Lauper
The Now Now - Gorillaz
Adapt - 鱼韵
Innamoramento - Mylène Farmer
Love Is Dead - CHVRCHES
Kiss All The Time. Disco, Occasionally. - Harry Styles 
#applemusic #newjeans #supershy #塔妹 #哈卷</t>
  </si>
  <si>
    <t>2026-03-12 09:38:33</t>
  </si>
  <si>
    <t>Apple Music动态封面Ep13 明媚的动态封面让人心情好好☀️ 
☀️专辑信息：
1989 (Taylor’s Version) - Taylor Swift
Moon Music - Coldplay
勇气 - 梁静茹
SEVENTEEN 11th Mini Album 'SEVENTEENTH HEAVEN' - SEVENTEEN
B’Day (Deluxe Edition) - Beyoncé
候鸟 五月天电影音乐作品 - 五月天, 刘若英, 黄品源
World Music Radio - Jon Batiste
Singin' to and Empty Chair - Ratboys
Chillhop Essentials Summer 2024 - Chillhop Music
Getting Killed - Geese
Call Me By Your Name (Original Motion Picture Soundtrack) - 群星 
#applemusic #taylorswift #霉霉 #梁静茹 #五月天</t>
  </si>
  <si>
    <t>2026-03-06 12:05:10</t>
  </si>
  <si>
    <t>Apple Music动态封面Ep12 盘点天气不太好的动态封面，顺便吐槽一下坏天气 
☁️专辑信息：
Views - Drake
GLORIA - 邓紫棋
AM I THE DRAMA? - Cardi B
What's Going On - Marvin Gaye
冬 未了(苏打绿版) - 苏打绿
Twisters: The Album - 群星
I Love You. - The Neighbourhood
Nebraska - Bruce Springsteen
The Ballad Of Darren - Blur
Storm Front - Billy Joel
Interstellar (Original Motion Picture Soundtrack) - Hans Zimmer 
#applemusic #欧美音乐 #邓紫棋 #苏打绿 #星际穿越</t>
  </si>
  <si>
    <t>2026-03-03 20:02:03</t>
  </si>
  <si>
    <t>Apple Music动态封面Ep11 这周五好多知名歌手发新专，包括火星哥、Blackpink、Gorillaz、米司机……这里收录了一些新专辑的动态封面（当然不全是新专辑） 
💿专辑信息：
The Romantic - Bruno Mars
DEADLINE - BLACKPINK
Honestly, Nevermind - Drake
Scarlet - Doja Cat
The Mountain - Gorillaz
Erotica - Madonna
Nothing's About to Happen to Me - Mitski
南[下]专线 - 纵贯线
I Look to You - Whitney Houston
Stranger Things: Soundtrack from the Netflix Series, Season 4 - 群星
Pleasure - JOLIN蔡依林 
#applemusic #blackpink #火星哥 #蔡依林 #drake</t>
  </si>
  <si>
    <t>2026-02-27 18:19:32</t>
  </si>
  <si>
    <t>Apple Music番外|AI封面吓晕。Apple music好多华语歌曲有渗人的AI动态封面😅
华纳音乐更是重灾区
听这些歌真是耳朵怀孕眼睛遭殃（当然最后一首耳朵也被强健了） 
ps: 华纳好像收到了反馈，最近下架了好多AI封面，也算是行了善事。节目里的一些AI动态封面现在可能没有了 
🤖专辑信息：
逆光 - 孙燕姿
我不是天使 - 那英
Muse in Live - JOLIN蔡依林
生如夏花 - 朴树
Read Me - 薛凯琪
简单不简单 - 黄小琥
干脆 - 那英
情人该有的慈悲 - 周传雄
独立日 - 金海心
光致.蜕变 - 徐怀钰 
#applemusic #ai #孙燕姿 #那英 #蔡依林</t>
  </si>
  <si>
    <t>2026-02-26 12:27:54</t>
  </si>
  <si>
    <t>Apple Music动态封面Ep10 上班第一天直呼SOS！看看SOS的超绝动态封面美到窒息！ 
🎧专辑信息：
SOS - SZA
The Secret of Us - Gracie Abrams
你在烦恼什么（苏打绿版） - 苏打绿
You'll Be Alright, Kid - Alex Warren
Y2K! - Ice Spice
nadie sabe lo que va a pasar mañana - Bad Bunny
EVERYONE'S A STAR! - 5 Seconds of Summer
Bella Donna - Stevie Nicks
Best of Me - Daniel Powter
Only cry in the rain - CHUU
范特西 - 周杰伦 
#applemusic #周杰伦 #范特西 #苏打绿 #sza</t>
  </si>
  <si>
    <t>2026-02-24 12:25:23</t>
  </si>
  <si>
    <t>Apple Music动态封面Ep9 Apple Music动态封面 | Ep 9 | 艺术女佛导致海拔升高！公鸭喇嘛展开封面pk
海拔升高中！ROSALÍA携冰岛某不知名艺术女佛带来LUX
公鸭和喇嘛的封面也展开battle，你pick谁？ 
💃🏻专辑信息：
LUX - ROSALÍA
Dirty Work - aespa
想到我们 - 汪苏泷
Parachutes - Coldplay
Pink Tape - Lil Uzi Vert
Hejira - Joni Mitchell
I'm The Problem - Morgan Wallen
Nymph - Shygirl
I Got Too Sad For My Friends - Shura
Take Care - Drake
To Pimp a Butterfly - Kendrick Lamar 
#applemusic #aespa #汪苏泷 #drake #coldplay</t>
  </si>
  <si>
    <t>2026-02-22 11:35:55</t>
  </si>
  <si>
    <t>Apple Music动态封面Ep8 盆栽的动态封面巨帅！ 
🎤专辑信息：
After Hours - The Weeknd
Saturn - SZA
Choosin’ Texas - Ella Langley
'The ReVe Festival 2022 - Feel My Rhythm' - Red Velvet
Confessions on a Dance Floor - Madonna
Lil Uzi Vert Vs. The World - Lil Uzi Vert
Cloud 9 - Megan Moroney
Have A Nice Day - 魏如萱
SHOT CALLERS - LNGSHOT
Through The Wall - Rochelle Jordan
Purpose - Justin Bieber 
#applemusic #盆栽 #blindinglights #sza #justinbieber</t>
  </si>
  <si>
    <t>2026-02-20 11:52:48</t>
  </si>
  <si>
    <t>iOS26.4新功能 专辑页面更沉浸啦 iOS26.4 beta1 的 Apple Music 更新了专辑页面的外观
歌曲列表的背景颜色不再是纯白色了，会随封面的颜色而变化
#ios26 #applemusic #taylorswift #周杰伦</t>
  </si>
  <si>
    <t>2026-02-17 15:12:51</t>
  </si>
  <si>
    <t>Apple Music动态封面Ep7 新年到啦！祝大家马年快乐，马上啥都有！🐴
今天盘点那些红红火火的动态封面
欢迎在评论区补充 
🎼专辑信息：
Red (Taylor's Version) - Taylor Swift
= - Ed Sheeran
Ruby - JENNIE
Paint The Town Red - Doja Cat
Love Sux - Avril Lavigne
Fijación Oral Volumen 1 - Shakira
VILLAIN - 朱婧汐
Revelación - Selena Gomez
Laurel Hell - Mitski
世界赠予我的 - 王菲
爱如火 - 那艺娜 
#新年快乐 #applemusic #taylorswift #jennie #王菲</t>
  </si>
  <si>
    <t>2026-02-16 17:03:10</t>
  </si>
  <si>
    <t>Apple Music动态封面Ep6 💘情人节到啦！祝大家情人节快乐，有情人终成眷属，单身的宝子们早日脱单
今天盘点那些粉色的专辑封面
如果有没有提到的可以在评论区补充！ 
💽专辑信息：
Lover - Taylor Swift
...Baby One More Time - Britney Spears
JUMP - BLACKPINK
Hot Pink - Doja Cat
POP GIRL - 刘伯辛
Barbie The Album - 群星
loveless - my bloody valentine
TRUSTFALL (Tour Deluxe Edition) - P!nk
IGOR - Tyler, The Creator 
#applemusic #情人节 #taylorswift #blackpink #霉霉</t>
  </si>
  <si>
    <t>2026-02-14 16:35:33</t>
  </si>
  <si>
    <t>Apple Music动态封面Ep5 folklore是霉霉最封神的动态专辑封面！
坤坤新专辑也有帅帅的动态封面啦！厉不厉害你坤哥 
🎶专辑信息：
folklore - Taylor Swift
KUN - 蔡徐坤
Supernatural - NewJeans
Uptown Special - Mark Ronson
无人知晓 - 田馥甄
Human (Deluxe) - OneRepublic
The Off-Season - J. Cole
Body Language - Kylie Minogue
Star Wars: A New Hope (Original Motion Picture Score) - John Williams, London Symphony Orchestra
if I could make it go quiet - girl in red
Norman Fucking Rockwell! - Lana Del Rey 
#applemusic #taylorswift #蔡徐坤 #火星哥 #打雷姐</t>
  </si>
  <si>
    <t>2026-02-12 11:58:10</t>
  </si>
  <si>
    <t>Apple Music动态封面Ep4 《最伟大的作品》是周杰伦少有的动态封面，你觉得好看吗？
ps：另一张是圣诞星（
另外有想看的动态封面可以在评论区留言哦！ 
🎙️专辑信息：
最伟大的作品 - 周杰伦
KPop Demon Hunters (Soundtrack from the Netflix Film) - KPop Demon Hunters Cast, HUNTR/X, Saja Boys
Happier Than Ever - Billie Eilish
Voicenotes - Charlie Puth
Almost Healed - Lil Durk
True Blue - Madonna
I NEVER LIKED YOU - Future
Delulu Pack - KiiiKiii
parallel universe, pt. 1 - Alaina Castillo
Messy - Olivia Dean
NEW DAY - 袁娅维 
#applemusic #周杰伦 #最伟大的作品 #袁娅维 #golden</t>
  </si>
  <si>
    <t>2026-02-09 12:00:23</t>
  </si>
  <si>
    <t>Apple Music动态封面Ep3 从之前视频的评论区收集了一些大家推荐的动态封面！感谢大家的支持！
如果还有好看的动态封面，欢迎在评论区推荐哦！ 
🎧专辑信息：
Positions - Ariana Grande
STRATEGY - TWICE
PRISM - Katy Perry
Luv Is Rage 2 - Lil Uzi Vert
Hotel California - Eagles
给 - 徐佳莹
lulu. - Mrs. GREEN APPLE
Hurry Up Tomorrow - The Weeknd
Magia - Alvaro Soler
Bewitched - Laufey
Blonde - Frank Ocean
#applemusic #欧美音乐 #a妹 #twice #水果姐</t>
  </si>
  <si>
    <t>2026-02-06 11:57:31</t>
  </si>
  <si>
    <t>Apple Music动态封面Ep2 整理了2026年格莱美的一些获奖/提名作品的Apple Music动态封面
格莱美年年骂年年看（马年就是骂年🐶）。你觉得格莱美鼠了吗？
之前评论区有小伙伴推荐了不少好看的动态封面，我都放到下一期啦！ 
🎵专辑信息：
MAYHEM - Lady Gaga
Man's Best Friend - Sabrina Carpenter
rosie - ROSÉ
Wicked: The Soundtrack - Wicked Movie Cast, Cynthia Erivo, Ariana Grande
Let God Sort Em Out - Clipse, Pusha T, Malice
Something Beautiful - Miley Cyrus
Fancy That - PinkPantheress
I've Tried Everything But Therapy (Part 2) - Teddy Swims
Songs Of A Lost World - The Cure
Beautifully Broken (Pickin’ Up The Pieces) - Jelly Roll
DeBÍ TiRAR MáS FOToS - Bad Bunny 
#格莱美 #欧美音乐 #applemusic #ladygaga #apt</t>
  </si>
  <si>
    <t>2026-02-02 19:48:14</t>
  </si>
  <si>
    <t>Apple Music动态封面Ep1 💿专辑信息：
The Life of a Showgirl - Taylor Swift
The Fame - Lady Gaga
The Bodyguard - Whitney Houston
÷ - Ed Sheeran
Mono - i-dle, skaiwater
Revolver - The Beatles
$ome $exy $ongs 4 U - PARTYNEXTDOOR, Drake
海阔天空 - Beyond
Hamilton: An American Musical - Lin-Manuel Miranda, Leslie Odom, Jr., Phillipa Soo, Daveed Diggs &amp; Christopher Jackson
Imaginal Disk - Magdalena Bay
纯妹妹 - 单依纯 
ps: 俺使用土区的Apple Music，部分封面可能国区没有或者有不同 
#applemusic #锁屏壁纸 #欧美音乐 #taylorswift #ladygaga</t>
  </si>
  <si>
    <t>2026-01-30 11:55:25</t>
  </si>
  <si>
    <t>Apple Music</t>
  </si>
  <si>
    <t>还原</t>
  </si>
  <si>
    <t>Apple Music动态封面Ep19 柠檬水神专十周年啦！ 
🍋专辑信息：
Lemonade - Beyoncé
FAMOUS - ALLDAY PROJECT
Dua Lipa (Complete Edition) - Dua Lipa
Supermarket 超级 4th 场 - 曹格
Back to Black - Amy Winehouse
Silence Between Songs - Madison Beer
YHLQMDLG - Bad Bunny
Trench - twenty one pilots
Wake Up - MC Hotdog
EL MAL QUERER - ROSALÍA
THIS MUSIC MAY CONTAIN HOPE. - RAYE 
#applemusic #碧昂斯 #曹格 #啪姐 #famous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</si>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</sst>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Verdana"/>
    </font>
    <font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"/>
  <sheetViews>
    <sheetView tabSelected="1" topLeftCell="A24" zoomScaleNormal="100" workbookViewId="0">
      <selection activeCell="K52" sqref="K52"/>
    </sheetView>
  </sheetViews>
  <sheetFormatPr baseColWidth="10" defaultColWidth="8.625" defaultRowHeight="16" x14ac:dyDescent="0.2"/>
  <cols>
    <col min="1" max="1" width="29.375" customWidth="1"/>
    <col min="2" max="16" width="9.5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19</v>
      </c>
      <c r="E2" s="3">
        <v>23</v>
      </c>
      <c r="F2" s="3">
        <v>0</v>
      </c>
      <c r="G2" s="3">
        <v>0.230769</v>
      </c>
      <c r="H2" t="s">
        <v>20</v>
      </c>
      <c r="I2" s="3">
        <v>0.5</v>
      </c>
      <c r="J2" s="3">
        <v>5.461538</v>
      </c>
      <c r="K2" s="3">
        <v>2</v>
      </c>
      <c r="L2" s="3">
        <v>0</v>
      </c>
      <c r="M2" s="3">
        <v>0</v>
      </c>
      <c r="N2" s="3">
        <v>2</v>
      </c>
      <c r="O2" s="3">
        <v>0</v>
      </c>
      <c r="P2" s="3">
        <v>0</v>
      </c>
    </row>
    <row r="3" spans="1:16" x14ac:dyDescent="0.2">
      <c r="A3" t="s">
        <v>21</v>
      </c>
      <c r="B3" t="s">
        <v>22</v>
      </c>
      <c r="C3" t="s">
        <v>23</v>
      </c>
      <c r="D3" t="s">
        <v>19</v>
      </c>
      <c r="E3" s="3">
        <v>163</v>
      </c>
      <c r="F3" s="3">
        <v>2.3952000000000001E-2</v>
      </c>
      <c r="G3" s="3">
        <v>0.31550800000000001</v>
      </c>
      <c r="H3" s="3">
        <v>1</v>
      </c>
      <c r="I3" s="3">
        <v>0.36363600000000001</v>
      </c>
      <c r="J3" s="3">
        <v>7.6577539999999997</v>
      </c>
      <c r="K3" s="3">
        <v>4</v>
      </c>
      <c r="L3" s="3">
        <v>0</v>
      </c>
      <c r="M3" s="3">
        <v>0</v>
      </c>
      <c r="N3" s="3">
        <v>1</v>
      </c>
      <c r="O3" s="3">
        <v>4</v>
      </c>
      <c r="P3" s="3">
        <v>0</v>
      </c>
    </row>
    <row r="4" spans="1:16" x14ac:dyDescent="0.2">
      <c r="A4" t="s">
        <v>24</v>
      </c>
      <c r="B4" t="s">
        <v>25</v>
      </c>
      <c r="C4" t="s">
        <v>18</v>
      </c>
      <c r="D4" t="s">
        <v>19</v>
      </c>
      <c r="E4" s="3">
        <v>376</v>
      </c>
      <c r="F4" s="3">
        <v>2.0882000000000001E-2</v>
      </c>
      <c r="G4" s="3">
        <v>0.363118</v>
      </c>
      <c r="H4" t="s">
        <v>20</v>
      </c>
      <c r="I4" s="3">
        <v>0.374525</v>
      </c>
      <c r="J4" s="3">
        <v>8.3870970000000007</v>
      </c>
      <c r="K4" s="3">
        <v>5</v>
      </c>
      <c r="L4" s="3">
        <v>3</v>
      </c>
      <c r="M4" s="3">
        <v>0</v>
      </c>
      <c r="N4" s="3">
        <v>4</v>
      </c>
      <c r="O4" s="3">
        <v>30</v>
      </c>
      <c r="P4" s="3">
        <v>0</v>
      </c>
    </row>
    <row r="5" spans="1:16" x14ac:dyDescent="0.2">
      <c r="A5" t="s">
        <v>26</v>
      </c>
      <c r="B5" t="s">
        <v>27</v>
      </c>
      <c r="C5" t="s">
        <v>18</v>
      </c>
      <c r="D5" t="s">
        <v>19</v>
      </c>
      <c r="E5" s="3">
        <v>308</v>
      </c>
      <c r="F5" s="3">
        <v>1.4368000000000001E-2</v>
      </c>
      <c r="G5" s="3">
        <v>0.27884599999999998</v>
      </c>
      <c r="H5" t="s">
        <v>20</v>
      </c>
      <c r="I5" s="3">
        <v>0.48317300000000002</v>
      </c>
      <c r="J5" s="3">
        <v>6.4278849999999998</v>
      </c>
      <c r="K5" s="3">
        <v>3</v>
      </c>
      <c r="L5" s="3">
        <v>0</v>
      </c>
      <c r="M5" s="3">
        <v>0</v>
      </c>
      <c r="N5" s="3">
        <v>1</v>
      </c>
      <c r="O5" s="3">
        <v>17</v>
      </c>
      <c r="P5" s="3">
        <v>1</v>
      </c>
    </row>
    <row r="6" spans="1:16" x14ac:dyDescent="0.2">
      <c r="A6" t="s">
        <v>28</v>
      </c>
      <c r="B6" t="s">
        <v>29</v>
      </c>
      <c r="C6" t="s">
        <v>23</v>
      </c>
      <c r="D6" t="s">
        <v>19</v>
      </c>
      <c r="E6" s="3">
        <v>48</v>
      </c>
      <c r="F6" s="3">
        <v>0</v>
      </c>
      <c r="G6" s="3">
        <v>0.26</v>
      </c>
      <c r="H6" s="3">
        <v>0</v>
      </c>
      <c r="I6" s="3">
        <v>0.66</v>
      </c>
      <c r="J6" s="3">
        <v>7.5</v>
      </c>
      <c r="K6" s="3">
        <v>3</v>
      </c>
      <c r="L6" s="3">
        <v>0</v>
      </c>
      <c r="M6" s="3">
        <v>0</v>
      </c>
      <c r="N6" s="3">
        <v>1</v>
      </c>
      <c r="O6" s="3">
        <v>1</v>
      </c>
      <c r="P6" s="3">
        <v>0</v>
      </c>
    </row>
    <row r="7" spans="1:16" x14ac:dyDescent="0.2">
      <c r="A7" t="s">
        <v>30</v>
      </c>
      <c r="B7" t="s">
        <v>31</v>
      </c>
      <c r="C7" t="s">
        <v>23</v>
      </c>
      <c r="D7" t="s">
        <v>19</v>
      </c>
      <c r="E7" s="3">
        <v>13</v>
      </c>
      <c r="F7" s="3">
        <v>0</v>
      </c>
      <c r="G7" s="3">
        <v>0.148148</v>
      </c>
      <c r="H7" s="3">
        <v>0</v>
      </c>
      <c r="I7" s="3">
        <v>0.703704</v>
      </c>
      <c r="J7" s="3">
        <v>3.5925929999999999</v>
      </c>
      <c r="K7" s="3">
        <v>3</v>
      </c>
      <c r="L7" s="3">
        <v>1</v>
      </c>
      <c r="M7" s="3">
        <v>2</v>
      </c>
      <c r="N7" s="3">
        <v>1</v>
      </c>
      <c r="O7" s="3">
        <v>0</v>
      </c>
      <c r="P7" s="3">
        <v>0</v>
      </c>
    </row>
    <row r="8" spans="1:16" x14ac:dyDescent="0.2">
      <c r="A8" t="s">
        <v>32</v>
      </c>
      <c r="B8" t="s">
        <v>33</v>
      </c>
      <c r="C8" t="s">
        <v>34</v>
      </c>
      <c r="D8" t="s">
        <v>19</v>
      </c>
      <c r="E8" s="3">
        <v>32</v>
      </c>
      <c r="F8" s="3">
        <v>0.05</v>
      </c>
      <c r="G8" s="3">
        <v>0.14285700000000001</v>
      </c>
      <c r="H8" s="3">
        <v>0</v>
      </c>
      <c r="I8" s="3">
        <v>0.61904800000000004</v>
      </c>
      <c r="J8" s="3">
        <v>3.4047619999999998</v>
      </c>
      <c r="K8" s="3">
        <v>3</v>
      </c>
      <c r="L8" s="3">
        <v>0</v>
      </c>
      <c r="M8" s="3">
        <v>0</v>
      </c>
      <c r="N8" s="3">
        <v>1</v>
      </c>
      <c r="O8" s="3">
        <v>0</v>
      </c>
      <c r="P8" s="3">
        <v>0</v>
      </c>
    </row>
    <row r="9" spans="1:16" x14ac:dyDescent="0.2">
      <c r="A9" t="s">
        <v>35</v>
      </c>
      <c r="B9" t="s">
        <v>36</v>
      </c>
      <c r="C9" t="s">
        <v>34</v>
      </c>
      <c r="D9" t="s">
        <v>19</v>
      </c>
      <c r="E9" s="3">
        <v>138</v>
      </c>
      <c r="F9" s="3">
        <v>8.6666999999999994E-2</v>
      </c>
      <c r="G9" s="3">
        <v>0.26250000000000001</v>
      </c>
      <c r="H9" s="3">
        <v>0</v>
      </c>
      <c r="I9" s="3">
        <v>0.53125</v>
      </c>
      <c r="J9" s="3">
        <v>6.21875</v>
      </c>
      <c r="K9" s="3">
        <v>4</v>
      </c>
      <c r="L9" s="3">
        <v>1</v>
      </c>
      <c r="M9" s="3">
        <v>0</v>
      </c>
      <c r="N9" s="3">
        <v>1</v>
      </c>
      <c r="O9" s="3">
        <v>12</v>
      </c>
      <c r="P9" s="3">
        <v>0</v>
      </c>
    </row>
    <row r="10" spans="1:16" x14ac:dyDescent="0.2">
      <c r="A10" t="s">
        <v>37</v>
      </c>
      <c r="B10" t="s">
        <v>38</v>
      </c>
      <c r="C10" t="s">
        <v>18</v>
      </c>
      <c r="D10" t="s">
        <v>19</v>
      </c>
      <c r="E10" s="3">
        <v>128</v>
      </c>
      <c r="F10" s="3">
        <v>0</v>
      </c>
      <c r="G10" s="3">
        <v>0.26666699999999999</v>
      </c>
      <c r="H10" t="s">
        <v>20</v>
      </c>
      <c r="I10" s="3">
        <v>0.526667</v>
      </c>
      <c r="J10" s="3">
        <v>5.6066669999999998</v>
      </c>
      <c r="K10" s="3">
        <v>12</v>
      </c>
      <c r="L10" s="3">
        <v>0</v>
      </c>
      <c r="M10" s="3">
        <v>0</v>
      </c>
      <c r="N10" s="3">
        <v>1</v>
      </c>
      <c r="O10" s="3">
        <v>2</v>
      </c>
      <c r="P10" s="3">
        <v>0</v>
      </c>
    </row>
    <row r="11" spans="1:16" x14ac:dyDescent="0.2">
      <c r="A11" t="s">
        <v>39</v>
      </c>
      <c r="B11" t="s">
        <v>40</v>
      </c>
      <c r="C11" t="s">
        <v>34</v>
      </c>
      <c r="D11" t="s">
        <v>19</v>
      </c>
      <c r="E11" s="3">
        <v>162</v>
      </c>
      <c r="F11" s="3">
        <v>3.8674E-2</v>
      </c>
      <c r="G11" s="3">
        <v>0.19587599999999999</v>
      </c>
      <c r="H11" s="3">
        <v>0</v>
      </c>
      <c r="I11" s="3">
        <v>0.51546400000000003</v>
      </c>
      <c r="J11" s="3">
        <v>4.6855669999999998</v>
      </c>
      <c r="K11" s="3">
        <v>4</v>
      </c>
      <c r="L11" s="3">
        <v>0</v>
      </c>
      <c r="M11" s="3">
        <v>0</v>
      </c>
      <c r="N11" s="3">
        <v>1</v>
      </c>
      <c r="O11" s="3">
        <v>4</v>
      </c>
      <c r="P11" s="3">
        <v>0</v>
      </c>
    </row>
    <row r="12" spans="1:16" x14ac:dyDescent="0.2">
      <c r="A12" t="s">
        <v>41</v>
      </c>
      <c r="B12" t="s">
        <v>42</v>
      </c>
      <c r="C12" t="s">
        <v>23</v>
      </c>
      <c r="D12" t="s">
        <v>19</v>
      </c>
      <c r="E12" s="3">
        <v>268</v>
      </c>
      <c r="F12" s="3">
        <v>6.4520000000000003E-3</v>
      </c>
      <c r="G12" s="3">
        <v>0.221884</v>
      </c>
      <c r="H12" s="3">
        <v>1</v>
      </c>
      <c r="I12" s="3">
        <v>0.55623100000000003</v>
      </c>
      <c r="J12" s="3">
        <v>6.2218840000000002</v>
      </c>
      <c r="K12" s="3">
        <v>14</v>
      </c>
      <c r="L12" s="3">
        <v>0</v>
      </c>
      <c r="M12" s="3">
        <v>0</v>
      </c>
      <c r="N12" s="3">
        <v>1</v>
      </c>
      <c r="O12" s="3">
        <v>4</v>
      </c>
      <c r="P12" s="3">
        <v>0</v>
      </c>
    </row>
    <row r="13" spans="1:16" x14ac:dyDescent="0.2">
      <c r="A13" t="s">
        <v>43</v>
      </c>
      <c r="B13" t="s">
        <v>44</v>
      </c>
      <c r="C13" t="s">
        <v>34</v>
      </c>
      <c r="D13" t="s">
        <v>19</v>
      </c>
      <c r="E13" s="3">
        <v>109</v>
      </c>
      <c r="F13" s="3">
        <v>0.113402</v>
      </c>
      <c r="G13" s="3">
        <v>0.28749999999999998</v>
      </c>
      <c r="H13" s="3">
        <v>0</v>
      </c>
      <c r="I13" s="3">
        <v>0.52083299999999999</v>
      </c>
      <c r="J13" s="3">
        <v>7.477366</v>
      </c>
      <c r="K13" s="3">
        <v>5</v>
      </c>
      <c r="L13" s="3">
        <v>1</v>
      </c>
      <c r="M13" s="3">
        <v>4</v>
      </c>
      <c r="N13" s="3">
        <v>1</v>
      </c>
      <c r="O13" s="3">
        <v>6</v>
      </c>
      <c r="P13" s="3">
        <v>0</v>
      </c>
    </row>
    <row r="14" spans="1:16" x14ac:dyDescent="0.2">
      <c r="A14" t="s">
        <v>45</v>
      </c>
      <c r="B14" t="s">
        <v>46</v>
      </c>
      <c r="C14" t="s">
        <v>34</v>
      </c>
      <c r="D14" t="s">
        <v>19</v>
      </c>
      <c r="E14" s="3">
        <v>64</v>
      </c>
      <c r="F14" s="3">
        <v>0.131579</v>
      </c>
      <c r="G14" s="3">
        <v>0.33673500000000001</v>
      </c>
      <c r="H14" s="3">
        <v>0</v>
      </c>
      <c r="I14" s="3">
        <v>0.408163</v>
      </c>
      <c r="J14" s="3">
        <v>9.7474749999999997</v>
      </c>
      <c r="K14" s="3">
        <v>3</v>
      </c>
      <c r="L14" s="3">
        <v>4</v>
      </c>
      <c r="M14" s="3">
        <v>0</v>
      </c>
      <c r="N14" s="3">
        <v>1</v>
      </c>
      <c r="O14" s="3">
        <v>6</v>
      </c>
      <c r="P14" s="3">
        <v>0</v>
      </c>
    </row>
    <row r="15" spans="1:16" x14ac:dyDescent="0.2">
      <c r="A15" t="s">
        <v>47</v>
      </c>
      <c r="B15" t="s">
        <v>48</v>
      </c>
      <c r="C15" t="s">
        <v>34</v>
      </c>
      <c r="D15" t="s">
        <v>19</v>
      </c>
      <c r="E15" s="3">
        <v>69</v>
      </c>
      <c r="F15" s="3">
        <v>7.3171E-2</v>
      </c>
      <c r="G15" s="3">
        <v>0.35051500000000002</v>
      </c>
      <c r="H15" s="3">
        <v>0</v>
      </c>
      <c r="I15" s="3">
        <v>0.40206199999999997</v>
      </c>
      <c r="J15" s="3">
        <v>7.6326530000000004</v>
      </c>
      <c r="K15" s="3">
        <v>3</v>
      </c>
      <c r="L15" s="3">
        <v>0</v>
      </c>
      <c r="M15" s="3">
        <v>0</v>
      </c>
      <c r="N15" s="3">
        <v>1</v>
      </c>
      <c r="O15" s="3">
        <v>1</v>
      </c>
      <c r="P15" s="3">
        <v>0</v>
      </c>
    </row>
    <row r="16" spans="1:16" x14ac:dyDescent="0.2">
      <c r="A16" t="s">
        <v>49</v>
      </c>
      <c r="B16" t="s">
        <v>50</v>
      </c>
      <c r="C16" t="s">
        <v>34</v>
      </c>
      <c r="D16" t="s">
        <v>19</v>
      </c>
      <c r="E16" s="3">
        <v>63</v>
      </c>
      <c r="F16" s="3">
        <v>0.138462</v>
      </c>
      <c r="G16" s="3">
        <v>0.21917800000000001</v>
      </c>
      <c r="H16" s="3">
        <v>0</v>
      </c>
      <c r="I16" s="3">
        <v>0.52054800000000001</v>
      </c>
      <c r="J16" s="3">
        <v>5.0675679999999996</v>
      </c>
      <c r="K16" s="3">
        <v>3</v>
      </c>
      <c r="L16" s="3">
        <v>1</v>
      </c>
      <c r="M16" s="3">
        <v>0</v>
      </c>
      <c r="N16" s="3">
        <v>1</v>
      </c>
      <c r="O16" s="3">
        <v>1</v>
      </c>
      <c r="P16" s="3">
        <v>0</v>
      </c>
    </row>
    <row r="17" spans="1:16" x14ac:dyDescent="0.2">
      <c r="A17" t="s">
        <v>51</v>
      </c>
      <c r="B17" t="s">
        <v>52</v>
      </c>
      <c r="C17" t="s">
        <v>34</v>
      </c>
      <c r="D17" t="s">
        <v>19</v>
      </c>
      <c r="E17" s="3">
        <v>97</v>
      </c>
      <c r="F17" s="3">
        <v>7.8260999999999997E-2</v>
      </c>
      <c r="G17" s="3">
        <v>0.25547399999999998</v>
      </c>
      <c r="H17" s="3">
        <v>0</v>
      </c>
      <c r="I17" s="3">
        <v>0.51094899999999999</v>
      </c>
      <c r="J17" s="3">
        <v>6.6642859999999997</v>
      </c>
      <c r="K17" s="3">
        <v>5</v>
      </c>
      <c r="L17" s="3">
        <v>0</v>
      </c>
      <c r="M17" s="3">
        <v>1</v>
      </c>
      <c r="N17" s="3">
        <v>1</v>
      </c>
      <c r="O17" s="3">
        <v>3</v>
      </c>
      <c r="P17" s="3">
        <v>0</v>
      </c>
    </row>
    <row r="18" spans="1:16" x14ac:dyDescent="0.2">
      <c r="A18" t="s">
        <v>53</v>
      </c>
      <c r="B18" t="s">
        <v>54</v>
      </c>
      <c r="C18" t="s">
        <v>34</v>
      </c>
      <c r="D18" t="s">
        <v>19</v>
      </c>
      <c r="E18" s="3">
        <v>62</v>
      </c>
      <c r="F18" s="3">
        <v>8.2192000000000001E-2</v>
      </c>
      <c r="G18" s="3">
        <v>0.240506</v>
      </c>
      <c r="H18" s="3">
        <v>0</v>
      </c>
      <c r="I18" s="3">
        <v>0.55696199999999996</v>
      </c>
      <c r="J18" s="3">
        <v>5.0374999999999996</v>
      </c>
      <c r="K18" s="3">
        <v>2</v>
      </c>
      <c r="L18" s="3">
        <v>0</v>
      </c>
      <c r="M18" s="3">
        <v>0</v>
      </c>
      <c r="N18" s="3">
        <v>1</v>
      </c>
      <c r="O18" s="3">
        <v>1</v>
      </c>
      <c r="P18" s="3">
        <v>0</v>
      </c>
    </row>
    <row r="19" spans="1:16" x14ac:dyDescent="0.2">
      <c r="A19" t="s">
        <v>55</v>
      </c>
      <c r="B19" t="s">
        <v>56</v>
      </c>
      <c r="C19" t="s">
        <v>34</v>
      </c>
      <c r="D19" t="s">
        <v>19</v>
      </c>
      <c r="E19" s="3">
        <v>1349</v>
      </c>
      <c r="F19" s="3">
        <v>9.2747999999999997E-2</v>
      </c>
      <c r="G19" s="3">
        <v>0.31842599999999999</v>
      </c>
      <c r="H19" s="3">
        <v>0</v>
      </c>
      <c r="I19" s="3">
        <v>0.38819300000000001</v>
      </c>
      <c r="J19" s="3">
        <v>7.8640429999999997</v>
      </c>
      <c r="K19" s="3">
        <v>27</v>
      </c>
      <c r="L19" s="3">
        <v>3</v>
      </c>
      <c r="M19" s="3">
        <v>1</v>
      </c>
      <c r="N19" s="3">
        <v>4</v>
      </c>
      <c r="O19" s="3">
        <v>76</v>
      </c>
      <c r="P19" s="3">
        <v>0</v>
      </c>
    </row>
    <row r="20" spans="1:16" x14ac:dyDescent="0.2">
      <c r="A20" t="s">
        <v>57</v>
      </c>
      <c r="B20" t="s">
        <v>58</v>
      </c>
      <c r="C20" t="s">
        <v>34</v>
      </c>
      <c r="D20" t="s">
        <v>19</v>
      </c>
      <c r="E20" s="3">
        <v>575</v>
      </c>
      <c r="F20" s="3">
        <v>8.8888999999999996E-2</v>
      </c>
      <c r="G20" s="3">
        <v>0.31988899999999998</v>
      </c>
      <c r="H20" s="3">
        <v>0</v>
      </c>
      <c r="I20" s="3">
        <v>0.42420000000000002</v>
      </c>
      <c r="J20" s="3">
        <v>7.5952710000000003</v>
      </c>
      <c r="K20" s="3">
        <v>13</v>
      </c>
      <c r="L20" s="3">
        <v>1</v>
      </c>
      <c r="M20" s="3">
        <v>0</v>
      </c>
      <c r="N20" s="3">
        <v>3</v>
      </c>
      <c r="O20" s="3">
        <v>32</v>
      </c>
      <c r="P20" s="3">
        <v>0</v>
      </c>
    </row>
    <row r="21" spans="1:16" x14ac:dyDescent="0.2">
      <c r="A21" t="s">
        <v>59</v>
      </c>
      <c r="B21" t="s">
        <v>60</v>
      </c>
      <c r="C21" t="s">
        <v>61</v>
      </c>
      <c r="D21" t="s">
        <v>19</v>
      </c>
      <c r="E21" s="3">
        <v>65</v>
      </c>
      <c r="F21" s="3">
        <v>0</v>
      </c>
      <c r="G21" s="3">
        <v>0.222222</v>
      </c>
      <c r="H21" t="s">
        <v>20</v>
      </c>
      <c r="I21" s="3">
        <v>0.44444400000000001</v>
      </c>
      <c r="J21" s="3">
        <v>4.2083329999999997</v>
      </c>
      <c r="K21" s="3">
        <v>3</v>
      </c>
      <c r="L21" s="3">
        <v>0</v>
      </c>
      <c r="M21" s="3">
        <v>0</v>
      </c>
      <c r="N21" s="3">
        <v>1</v>
      </c>
      <c r="O21" s="3">
        <v>5</v>
      </c>
      <c r="P21" s="3">
        <v>0</v>
      </c>
    </row>
    <row r="22" spans="1:16" x14ac:dyDescent="0.2">
      <c r="A22" t="s">
        <v>62</v>
      </c>
      <c r="B22" t="s">
        <v>63</v>
      </c>
      <c r="C22" t="s">
        <v>34</v>
      </c>
      <c r="D22" t="s">
        <v>19</v>
      </c>
      <c r="E22" s="3">
        <v>52</v>
      </c>
      <c r="F22" s="3">
        <v>0.155172</v>
      </c>
      <c r="G22" s="3">
        <v>0.34285700000000002</v>
      </c>
      <c r="H22" s="3">
        <v>0</v>
      </c>
      <c r="I22" s="3">
        <v>0.4</v>
      </c>
      <c r="J22" s="3">
        <v>7.5142860000000002</v>
      </c>
      <c r="K22" s="3">
        <v>4</v>
      </c>
      <c r="L22" s="3">
        <v>0</v>
      </c>
      <c r="M22" s="3">
        <v>0</v>
      </c>
      <c r="N22" s="3">
        <v>1</v>
      </c>
      <c r="O22" s="3">
        <v>2</v>
      </c>
      <c r="P22" s="3">
        <v>0</v>
      </c>
    </row>
    <row r="23" spans="1:16" x14ac:dyDescent="0.2">
      <c r="A23" t="s">
        <v>64</v>
      </c>
      <c r="B23" t="s">
        <v>65</v>
      </c>
      <c r="C23" t="s">
        <v>34</v>
      </c>
      <c r="D23" t="s">
        <v>19</v>
      </c>
      <c r="E23" s="3">
        <v>155</v>
      </c>
      <c r="F23" s="3">
        <v>8.8398000000000004E-2</v>
      </c>
      <c r="G23" s="3">
        <v>0.20202000000000001</v>
      </c>
      <c r="H23" s="3">
        <v>0</v>
      </c>
      <c r="I23" s="3">
        <v>0.46969699999999998</v>
      </c>
      <c r="J23" s="3">
        <v>6.3636359999999996</v>
      </c>
      <c r="K23" s="3">
        <v>4</v>
      </c>
      <c r="L23" s="3">
        <v>0</v>
      </c>
      <c r="M23" s="3">
        <v>0</v>
      </c>
      <c r="N23" s="3">
        <v>1</v>
      </c>
      <c r="O23" s="3">
        <v>1</v>
      </c>
      <c r="P23" s="3">
        <v>0</v>
      </c>
    </row>
    <row r="24" spans="1:16" ht="290" customHeight="1" x14ac:dyDescent="0.2">
      <c r="A24" s="1" t="s">
        <v>114</v>
      </c>
      <c r="B24" t="s">
        <v>66</v>
      </c>
      <c r="C24" t="s">
        <v>34</v>
      </c>
      <c r="D24" t="s">
        <v>19</v>
      </c>
      <c r="E24" s="3">
        <v>48</v>
      </c>
      <c r="F24" s="3">
        <v>0.12698400000000001</v>
      </c>
      <c r="G24" s="3">
        <v>0.232877</v>
      </c>
      <c r="H24" s="3">
        <v>0</v>
      </c>
      <c r="I24" s="3">
        <v>0.60274000000000005</v>
      </c>
      <c r="J24" s="3">
        <v>5.1917809999999998</v>
      </c>
      <c r="K24" s="3">
        <v>3</v>
      </c>
      <c r="L24" s="3">
        <v>0</v>
      </c>
      <c r="M24" s="3">
        <v>0</v>
      </c>
      <c r="N24" s="3">
        <v>1</v>
      </c>
      <c r="O24" s="3">
        <v>4</v>
      </c>
      <c r="P24" s="3">
        <v>0</v>
      </c>
    </row>
    <row r="25" spans="1:16" x14ac:dyDescent="0.2">
      <c r="A25" t="s">
        <v>67</v>
      </c>
      <c r="B25" t="s">
        <v>68</v>
      </c>
      <c r="C25" t="s">
        <v>34</v>
      </c>
      <c r="D25" t="s">
        <v>19</v>
      </c>
      <c r="E25" s="3">
        <v>84</v>
      </c>
      <c r="F25" s="3">
        <v>0.103896</v>
      </c>
      <c r="G25" s="3">
        <v>0.24418599999999999</v>
      </c>
      <c r="H25" s="3">
        <v>0</v>
      </c>
      <c r="I25" s="3">
        <v>0.52325600000000005</v>
      </c>
      <c r="J25" s="3">
        <v>5.0813949999999997</v>
      </c>
      <c r="K25" s="3">
        <v>3</v>
      </c>
      <c r="L25" s="3">
        <v>0</v>
      </c>
      <c r="M25" s="3">
        <v>0</v>
      </c>
      <c r="N25" s="3">
        <v>1</v>
      </c>
      <c r="O25" s="3">
        <v>4</v>
      </c>
      <c r="P25" s="3">
        <v>0</v>
      </c>
    </row>
    <row r="26" spans="1:16" x14ac:dyDescent="0.2">
      <c r="A26" t="s">
        <v>69</v>
      </c>
      <c r="B26" t="s">
        <v>70</v>
      </c>
      <c r="C26" t="s">
        <v>18</v>
      </c>
      <c r="D26" t="s">
        <v>19</v>
      </c>
      <c r="E26" s="3">
        <v>86</v>
      </c>
      <c r="F26" s="3">
        <v>2.0618999999999998E-2</v>
      </c>
      <c r="G26" s="3">
        <v>0.269565</v>
      </c>
      <c r="H26" t="s">
        <v>20</v>
      </c>
      <c r="I26" s="3">
        <v>0.53043499999999999</v>
      </c>
      <c r="J26" s="3">
        <v>4.4956519999999998</v>
      </c>
      <c r="K26" s="3">
        <v>3</v>
      </c>
      <c r="L26" s="3">
        <v>0</v>
      </c>
      <c r="M26" s="3">
        <v>0</v>
      </c>
      <c r="N26" s="3">
        <v>1</v>
      </c>
      <c r="O26" s="3">
        <v>4</v>
      </c>
      <c r="P26" s="3">
        <v>0</v>
      </c>
    </row>
    <row r="27" spans="1:16" x14ac:dyDescent="0.2">
      <c r="A27" t="s">
        <v>71</v>
      </c>
      <c r="B27" t="s">
        <v>72</v>
      </c>
      <c r="C27" t="s">
        <v>34</v>
      </c>
      <c r="D27" t="s">
        <v>19</v>
      </c>
      <c r="E27" s="3">
        <v>69</v>
      </c>
      <c r="F27" s="3">
        <v>0.144928</v>
      </c>
      <c r="G27" s="3">
        <v>0.33333299999999999</v>
      </c>
      <c r="H27" s="3">
        <v>0</v>
      </c>
      <c r="I27" s="3">
        <v>0.48717899999999997</v>
      </c>
      <c r="J27" s="3">
        <v>7.0128209999999997</v>
      </c>
      <c r="K27" s="3">
        <v>2</v>
      </c>
      <c r="L27" s="3">
        <v>1</v>
      </c>
      <c r="M27" s="3">
        <v>0</v>
      </c>
      <c r="N27" s="3">
        <v>1</v>
      </c>
      <c r="O27" s="3">
        <v>0</v>
      </c>
      <c r="P27" s="3">
        <v>0</v>
      </c>
    </row>
    <row r="28" spans="1:16" x14ac:dyDescent="0.2">
      <c r="A28" t="s">
        <v>73</v>
      </c>
      <c r="B28" t="s">
        <v>74</v>
      </c>
      <c r="C28" t="s">
        <v>34</v>
      </c>
      <c r="D28" t="s">
        <v>19</v>
      </c>
      <c r="E28" s="3">
        <v>53</v>
      </c>
      <c r="F28" s="3">
        <v>0.222222</v>
      </c>
      <c r="G28" s="3">
        <v>0.30263200000000001</v>
      </c>
      <c r="H28" s="3">
        <v>0</v>
      </c>
      <c r="I28" s="3">
        <v>0.355263</v>
      </c>
      <c r="J28" s="3">
        <v>8.6052630000000008</v>
      </c>
      <c r="K28" s="3">
        <v>4</v>
      </c>
      <c r="L28" s="3">
        <v>0</v>
      </c>
      <c r="M28" s="3">
        <v>0</v>
      </c>
      <c r="N28" s="3">
        <v>1</v>
      </c>
      <c r="O28" s="3">
        <v>1</v>
      </c>
      <c r="P28" s="3">
        <v>0</v>
      </c>
    </row>
    <row r="29" spans="1:16" x14ac:dyDescent="0.2">
      <c r="A29" t="s">
        <v>75</v>
      </c>
      <c r="B29" t="s">
        <v>76</v>
      </c>
      <c r="C29" t="s">
        <v>61</v>
      </c>
      <c r="D29" t="s">
        <v>77</v>
      </c>
      <c r="E29" s="3">
        <v>10</v>
      </c>
      <c r="F29" s="3">
        <v>6.25E-2</v>
      </c>
      <c r="G29" s="3">
        <v>0.263158</v>
      </c>
      <c r="H29" t="s">
        <v>20</v>
      </c>
      <c r="I29" s="3">
        <v>0.631579</v>
      </c>
      <c r="J29" s="3">
        <v>4.947368</v>
      </c>
      <c r="K29" s="3">
        <v>2</v>
      </c>
      <c r="L29" s="3">
        <v>0</v>
      </c>
      <c r="M29" s="3">
        <v>0</v>
      </c>
      <c r="N29" s="3">
        <v>1</v>
      </c>
      <c r="O29" s="3">
        <v>1</v>
      </c>
      <c r="P29" s="3">
        <v>0</v>
      </c>
    </row>
    <row r="30" spans="1:16" x14ac:dyDescent="0.2">
      <c r="A30" t="s">
        <v>78</v>
      </c>
      <c r="B30" t="s">
        <v>79</v>
      </c>
      <c r="C30" t="s">
        <v>34</v>
      </c>
      <c r="D30" t="s">
        <v>19</v>
      </c>
      <c r="E30" s="3">
        <v>710</v>
      </c>
      <c r="F30" s="3">
        <v>0.102922</v>
      </c>
      <c r="G30" s="3">
        <v>0.35158800000000001</v>
      </c>
      <c r="H30" s="3">
        <v>0</v>
      </c>
      <c r="I30" s="3">
        <v>0.40416200000000002</v>
      </c>
      <c r="J30" s="3">
        <v>8.1796279999999992</v>
      </c>
      <c r="K30" s="3">
        <v>8</v>
      </c>
      <c r="L30" s="3">
        <v>2</v>
      </c>
      <c r="M30" s="3">
        <v>0</v>
      </c>
      <c r="N30" s="3">
        <v>1</v>
      </c>
      <c r="O30" s="3">
        <v>38</v>
      </c>
      <c r="P30" s="3">
        <v>0</v>
      </c>
    </row>
    <row r="31" spans="1:16" x14ac:dyDescent="0.2">
      <c r="A31" t="s">
        <v>80</v>
      </c>
      <c r="B31" t="s">
        <v>81</v>
      </c>
      <c r="C31" t="s">
        <v>34</v>
      </c>
      <c r="D31" t="s">
        <v>19</v>
      </c>
      <c r="E31" s="3">
        <v>331</v>
      </c>
      <c r="F31" s="3">
        <v>0.122112</v>
      </c>
      <c r="G31" s="3">
        <v>0.39784900000000001</v>
      </c>
      <c r="H31" s="3">
        <v>0</v>
      </c>
      <c r="I31" s="3">
        <v>0.33871000000000001</v>
      </c>
      <c r="J31" s="3">
        <v>6.1182800000000004</v>
      </c>
      <c r="K31" s="3">
        <v>11</v>
      </c>
      <c r="L31" s="3">
        <v>0</v>
      </c>
      <c r="M31" s="3">
        <v>0</v>
      </c>
      <c r="N31" s="3">
        <v>3</v>
      </c>
      <c r="O31" s="3">
        <v>3</v>
      </c>
      <c r="P31" s="3">
        <v>0</v>
      </c>
    </row>
    <row r="32" spans="1:16" x14ac:dyDescent="0.2">
      <c r="A32" t="s">
        <v>82</v>
      </c>
      <c r="B32" t="s">
        <v>83</v>
      </c>
      <c r="C32" t="s">
        <v>34</v>
      </c>
      <c r="D32" t="s">
        <v>19</v>
      </c>
      <c r="E32" s="3">
        <v>85</v>
      </c>
      <c r="F32" s="3">
        <v>0.13636400000000001</v>
      </c>
      <c r="G32" s="3">
        <v>0.35353499999999999</v>
      </c>
      <c r="H32" s="3">
        <v>0</v>
      </c>
      <c r="I32" s="3">
        <v>0.44444400000000001</v>
      </c>
      <c r="J32" s="3">
        <v>6.1515149999999998</v>
      </c>
      <c r="K32" s="3">
        <v>3</v>
      </c>
      <c r="L32" s="3">
        <v>0</v>
      </c>
      <c r="M32" s="3">
        <v>0</v>
      </c>
      <c r="N32" s="3">
        <v>1</v>
      </c>
      <c r="O32" s="3">
        <v>0</v>
      </c>
      <c r="P32" s="3">
        <v>0</v>
      </c>
    </row>
    <row r="33" spans="1:16" x14ac:dyDescent="0.2">
      <c r="A33" t="s">
        <v>84</v>
      </c>
      <c r="B33" t="s">
        <v>85</v>
      </c>
      <c r="C33" t="s">
        <v>34</v>
      </c>
      <c r="D33" t="s">
        <v>19</v>
      </c>
      <c r="E33" s="3">
        <v>0</v>
      </c>
      <c r="F33" s="3">
        <v>0</v>
      </c>
      <c r="G33" s="3">
        <v>0.222222</v>
      </c>
      <c r="H33" s="3">
        <v>0</v>
      </c>
      <c r="I33" s="3">
        <v>0.40740700000000002</v>
      </c>
      <c r="J33" s="3">
        <v>3.518519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</row>
    <row r="34" spans="1:16" x14ac:dyDescent="0.2">
      <c r="A34" t="s">
        <v>86</v>
      </c>
      <c r="B34" t="s">
        <v>87</v>
      </c>
      <c r="C34" t="s">
        <v>34</v>
      </c>
      <c r="D34" t="s">
        <v>19</v>
      </c>
      <c r="E34" s="3">
        <v>601</v>
      </c>
      <c r="F34" s="3">
        <v>9.1330999999999996E-2</v>
      </c>
      <c r="G34" s="3">
        <v>0.32166899999999998</v>
      </c>
      <c r="H34" s="3">
        <v>0</v>
      </c>
      <c r="I34" s="3">
        <v>0.45760400000000001</v>
      </c>
      <c r="J34" s="3">
        <v>7.3983850000000002</v>
      </c>
      <c r="K34" s="3">
        <v>12</v>
      </c>
      <c r="L34" s="3">
        <v>0</v>
      </c>
      <c r="M34" s="3">
        <v>2</v>
      </c>
      <c r="N34" s="3">
        <v>5</v>
      </c>
      <c r="O34" s="3">
        <v>20</v>
      </c>
      <c r="P34" s="3">
        <v>0</v>
      </c>
    </row>
    <row r="35" spans="1:16" x14ac:dyDescent="0.2">
      <c r="A35" t="s">
        <v>88</v>
      </c>
      <c r="B35" t="s">
        <v>89</v>
      </c>
      <c r="C35" t="s">
        <v>34</v>
      </c>
      <c r="D35" t="s">
        <v>19</v>
      </c>
      <c r="E35" s="3">
        <v>952</v>
      </c>
      <c r="F35" s="3">
        <v>7.4668999999999999E-2</v>
      </c>
      <c r="G35" s="3">
        <v>0.38740200000000002</v>
      </c>
      <c r="H35" s="3">
        <v>0.5</v>
      </c>
      <c r="I35" s="3">
        <v>0.41023599999999999</v>
      </c>
      <c r="J35" s="3">
        <v>8.7669289999999993</v>
      </c>
      <c r="K35" s="3">
        <v>10</v>
      </c>
      <c r="L35" s="3">
        <v>3</v>
      </c>
      <c r="M35" s="3">
        <v>3</v>
      </c>
      <c r="N35" s="3">
        <v>3</v>
      </c>
      <c r="O35" s="3">
        <v>40</v>
      </c>
      <c r="P35" s="3">
        <v>0</v>
      </c>
    </row>
    <row r="36" spans="1:16" x14ac:dyDescent="0.2">
      <c r="A36" t="s">
        <v>90</v>
      </c>
      <c r="B36" t="s">
        <v>91</v>
      </c>
      <c r="C36" t="s">
        <v>34</v>
      </c>
      <c r="D36" t="s">
        <v>19</v>
      </c>
      <c r="E36" s="3">
        <v>1062</v>
      </c>
      <c r="F36" s="3">
        <v>0.100174</v>
      </c>
      <c r="G36" s="3">
        <v>0.26628099999999999</v>
      </c>
      <c r="H36" s="3">
        <v>0</v>
      </c>
      <c r="I36" s="3">
        <v>0.49204100000000001</v>
      </c>
      <c r="J36" s="3">
        <v>6.6946450000000004</v>
      </c>
      <c r="K36" s="3">
        <v>24</v>
      </c>
      <c r="L36" s="3">
        <v>4</v>
      </c>
      <c r="M36" s="3">
        <v>2</v>
      </c>
      <c r="N36" s="3">
        <v>3</v>
      </c>
      <c r="O36" s="3">
        <v>30</v>
      </c>
      <c r="P36" s="3">
        <v>0</v>
      </c>
    </row>
    <row r="37" spans="1:16" x14ac:dyDescent="0.2">
      <c r="A37" t="s">
        <v>92</v>
      </c>
      <c r="B37" t="s">
        <v>93</v>
      </c>
      <c r="C37" t="s">
        <v>34</v>
      </c>
      <c r="D37" t="s">
        <v>19</v>
      </c>
      <c r="E37" s="3">
        <v>368</v>
      </c>
      <c r="F37" s="3">
        <v>8.7526999999999994E-2</v>
      </c>
      <c r="G37" s="3">
        <v>0.26679799999999998</v>
      </c>
      <c r="H37" s="3">
        <v>0</v>
      </c>
      <c r="I37" s="3">
        <v>0.470356</v>
      </c>
      <c r="J37" s="3">
        <v>6.1877469999999999</v>
      </c>
      <c r="K37" s="3">
        <v>6</v>
      </c>
      <c r="L37" s="3">
        <v>0</v>
      </c>
      <c r="M37" s="3">
        <v>0</v>
      </c>
      <c r="N37" s="3">
        <v>2</v>
      </c>
      <c r="O37" s="3">
        <v>11</v>
      </c>
      <c r="P37" s="3">
        <v>0</v>
      </c>
    </row>
    <row r="38" spans="1:16" x14ac:dyDescent="0.2">
      <c r="A38" t="s">
        <v>94</v>
      </c>
      <c r="B38" t="s">
        <v>95</v>
      </c>
      <c r="C38" t="s">
        <v>34</v>
      </c>
      <c r="D38" t="s">
        <v>19</v>
      </c>
      <c r="E38" s="3">
        <v>2681</v>
      </c>
      <c r="F38" s="3">
        <v>0.10696899999999999</v>
      </c>
      <c r="G38" s="3">
        <v>0.35249200000000003</v>
      </c>
      <c r="H38" s="3">
        <v>0</v>
      </c>
      <c r="I38" s="3">
        <v>0.39102999999999999</v>
      </c>
      <c r="J38" s="3">
        <v>7.2501660000000001</v>
      </c>
      <c r="K38" s="3">
        <v>62</v>
      </c>
      <c r="L38" s="3">
        <v>8</v>
      </c>
      <c r="M38" s="3">
        <v>0</v>
      </c>
      <c r="N38" s="3">
        <v>13</v>
      </c>
      <c r="O38" s="3">
        <v>67</v>
      </c>
      <c r="P38" s="3">
        <v>1</v>
      </c>
    </row>
    <row r="39" spans="1:16" x14ac:dyDescent="0.2">
      <c r="A39" t="s">
        <v>96</v>
      </c>
      <c r="B39" t="s">
        <v>97</v>
      </c>
      <c r="C39" t="s">
        <v>34</v>
      </c>
      <c r="D39" t="s">
        <v>19</v>
      </c>
      <c r="E39" s="3">
        <v>4612</v>
      </c>
      <c r="F39" s="3">
        <v>5.6113999999999997E-2</v>
      </c>
      <c r="G39" s="3">
        <v>0.230629</v>
      </c>
      <c r="H39" s="3">
        <v>0.16666700000000001</v>
      </c>
      <c r="I39" s="3">
        <v>0.537246</v>
      </c>
      <c r="J39" s="3">
        <v>4.101763</v>
      </c>
      <c r="K39" s="3">
        <v>41</v>
      </c>
      <c r="L39" s="3">
        <v>14</v>
      </c>
      <c r="M39" s="3">
        <v>1</v>
      </c>
      <c r="N39" s="3">
        <v>1</v>
      </c>
      <c r="O39" s="3">
        <v>68</v>
      </c>
      <c r="P39" s="3">
        <v>0</v>
      </c>
    </row>
    <row r="40" spans="1:16" x14ac:dyDescent="0.2">
      <c r="A40" t="s">
        <v>98</v>
      </c>
      <c r="B40" t="s">
        <v>99</v>
      </c>
      <c r="C40" t="s">
        <v>34</v>
      </c>
      <c r="D40" t="s">
        <v>19</v>
      </c>
      <c r="E40" s="3">
        <v>501</v>
      </c>
      <c r="F40" s="3">
        <v>4.3200000000000002E-2</v>
      </c>
      <c r="G40" s="3">
        <v>0.19970399999999999</v>
      </c>
      <c r="H40" s="3">
        <v>0</v>
      </c>
      <c r="I40" s="3">
        <v>0.57840199999999997</v>
      </c>
      <c r="J40" s="3">
        <v>4.6775149999999996</v>
      </c>
      <c r="K40" s="3">
        <v>14</v>
      </c>
      <c r="L40" s="3">
        <v>0</v>
      </c>
      <c r="M40" s="3">
        <v>2</v>
      </c>
      <c r="N40" s="3">
        <v>3</v>
      </c>
      <c r="O40" s="3">
        <v>9</v>
      </c>
      <c r="P40" s="3">
        <v>0</v>
      </c>
    </row>
    <row r="41" spans="1:16" x14ac:dyDescent="0.2">
      <c r="A41" t="s">
        <v>100</v>
      </c>
      <c r="B41" t="s">
        <v>101</v>
      </c>
      <c r="C41" t="s">
        <v>34</v>
      </c>
      <c r="D41" t="s">
        <v>19</v>
      </c>
      <c r="E41" s="3">
        <v>553</v>
      </c>
      <c r="F41" s="3">
        <v>3.9494000000000001E-2</v>
      </c>
      <c r="G41" s="3">
        <v>0.22636100000000001</v>
      </c>
      <c r="H41" s="3">
        <v>0</v>
      </c>
      <c r="I41" s="3">
        <v>0.59025799999999995</v>
      </c>
      <c r="J41" s="3">
        <v>4.7765040000000001</v>
      </c>
      <c r="K41" s="3">
        <v>21</v>
      </c>
      <c r="L41" s="3">
        <v>0</v>
      </c>
      <c r="M41" s="3">
        <v>0</v>
      </c>
      <c r="N41" s="3">
        <v>3</v>
      </c>
      <c r="O41" s="3">
        <v>18</v>
      </c>
      <c r="P41" s="3">
        <v>0</v>
      </c>
    </row>
    <row r="42" spans="1:16" x14ac:dyDescent="0.2">
      <c r="A42" t="s">
        <v>102</v>
      </c>
      <c r="B42" t="s">
        <v>103</v>
      </c>
      <c r="C42" t="s">
        <v>34</v>
      </c>
      <c r="D42" t="s">
        <v>19</v>
      </c>
      <c r="E42" s="3">
        <v>374</v>
      </c>
      <c r="F42" s="3">
        <v>5.3811999999999999E-2</v>
      </c>
      <c r="G42" s="3">
        <v>0.265625</v>
      </c>
      <c r="H42" s="3">
        <v>0</v>
      </c>
      <c r="I42" s="3">
        <v>0.50976600000000005</v>
      </c>
      <c r="J42" s="3">
        <v>6.2402340000000001</v>
      </c>
      <c r="K42" s="3">
        <v>25</v>
      </c>
      <c r="L42" s="3">
        <v>0</v>
      </c>
      <c r="M42" s="3">
        <v>3</v>
      </c>
      <c r="N42" s="3">
        <v>4</v>
      </c>
      <c r="O42" s="3">
        <v>12</v>
      </c>
      <c r="P42" s="3">
        <v>0</v>
      </c>
    </row>
    <row r="43" spans="1:16" x14ac:dyDescent="0.2">
      <c r="A43" t="s">
        <v>104</v>
      </c>
      <c r="B43" t="s">
        <v>105</v>
      </c>
      <c r="C43" t="s">
        <v>34</v>
      </c>
      <c r="D43" t="s">
        <v>19</v>
      </c>
      <c r="E43" s="3">
        <v>1000</v>
      </c>
      <c r="F43" s="3">
        <v>7.9782000000000006E-2</v>
      </c>
      <c r="G43" s="3">
        <v>0.310811</v>
      </c>
      <c r="H43" s="3">
        <v>0</v>
      </c>
      <c r="I43" s="3">
        <v>0.425676</v>
      </c>
      <c r="J43" s="3">
        <v>6.3243239999999998</v>
      </c>
      <c r="K43" s="3">
        <v>11</v>
      </c>
      <c r="L43" s="3">
        <v>1</v>
      </c>
      <c r="M43" s="3">
        <v>12</v>
      </c>
      <c r="N43" s="3">
        <v>3</v>
      </c>
      <c r="O43" s="3">
        <v>37</v>
      </c>
      <c r="P43" s="3">
        <v>1</v>
      </c>
    </row>
    <row r="44" spans="1:16" x14ac:dyDescent="0.2">
      <c r="A44" t="s">
        <v>106</v>
      </c>
      <c r="B44" t="s">
        <v>107</v>
      </c>
      <c r="C44" t="s">
        <v>34</v>
      </c>
      <c r="D44" t="s">
        <v>19</v>
      </c>
      <c r="E44" s="3">
        <v>808</v>
      </c>
      <c r="F44" s="3">
        <v>6.2368E-2</v>
      </c>
      <c r="G44" s="3">
        <v>0.21319299999999999</v>
      </c>
      <c r="H44" s="3">
        <v>0.111111</v>
      </c>
      <c r="I44" s="3">
        <v>0.55258099999999999</v>
      </c>
      <c r="J44" s="3">
        <v>5.1099430000000003</v>
      </c>
      <c r="K44" s="3">
        <v>13</v>
      </c>
      <c r="L44" s="3">
        <v>0</v>
      </c>
      <c r="M44" s="3">
        <v>1</v>
      </c>
      <c r="N44" s="3">
        <v>3</v>
      </c>
      <c r="O44" s="3">
        <v>25</v>
      </c>
      <c r="P44" s="3">
        <v>0</v>
      </c>
    </row>
    <row r="45" spans="1:16" x14ac:dyDescent="0.2">
      <c r="A45" t="s">
        <v>108</v>
      </c>
      <c r="B45" t="s">
        <v>109</v>
      </c>
      <c r="C45" t="s">
        <v>34</v>
      </c>
      <c r="D45" t="s">
        <v>19</v>
      </c>
      <c r="E45" s="3">
        <v>12283</v>
      </c>
      <c r="F45" s="3">
        <v>8.8771000000000003E-2</v>
      </c>
      <c r="G45" s="3">
        <v>0.36025299999999999</v>
      </c>
      <c r="H45" s="3">
        <v>5.7142999999999999E-2</v>
      </c>
      <c r="I45" s="3">
        <v>0.41096700000000003</v>
      </c>
      <c r="J45" s="3">
        <v>9.587002</v>
      </c>
      <c r="K45" s="3">
        <v>199</v>
      </c>
      <c r="L45" s="3">
        <v>10</v>
      </c>
      <c r="M45" s="3">
        <v>12</v>
      </c>
      <c r="N45" s="3">
        <v>15</v>
      </c>
      <c r="O45" s="3">
        <v>693</v>
      </c>
      <c r="P45" s="3">
        <v>2</v>
      </c>
    </row>
    <row r="46" spans="1:16" x14ac:dyDescent="0.2">
      <c r="A46" t="s">
        <v>110</v>
      </c>
      <c r="B46" t="s">
        <v>111</v>
      </c>
      <c r="C46" t="s">
        <v>34</v>
      </c>
      <c r="D46" t="s">
        <v>19</v>
      </c>
      <c r="E46" s="3">
        <v>6710</v>
      </c>
      <c r="F46" s="3">
        <v>7.6257000000000005E-2</v>
      </c>
      <c r="G46" s="3">
        <v>0.34304000000000001</v>
      </c>
      <c r="H46" s="3">
        <v>0</v>
      </c>
      <c r="I46" s="3">
        <v>0.41186899999999999</v>
      </c>
      <c r="J46" s="3">
        <v>8.5272450000000006</v>
      </c>
      <c r="K46" s="3">
        <v>113</v>
      </c>
      <c r="L46" s="3">
        <v>9</v>
      </c>
      <c r="M46" s="3">
        <v>13</v>
      </c>
      <c r="N46" s="3">
        <v>8</v>
      </c>
      <c r="O46" s="3">
        <v>323</v>
      </c>
      <c r="P46" s="3">
        <v>0</v>
      </c>
    </row>
    <row r="47" spans="1:16" x14ac:dyDescent="0.2">
      <c r="C47" s="2" t="s">
        <v>112</v>
      </c>
      <c r="E47">
        <f>SUMIF($A:$A,"*Apple Music*",E:E)</f>
        <v>37843</v>
      </c>
      <c r="K47">
        <f t="shared" ref="F47:P47" si="0">SUMIF($A:$A,"*Apple Music*",K:K)</f>
        <v>687</v>
      </c>
      <c r="L47">
        <f t="shared" si="0"/>
        <v>66</v>
      </c>
      <c r="M47">
        <f t="shared" si="0"/>
        <v>57</v>
      </c>
      <c r="N47">
        <f t="shared" si="0"/>
        <v>104</v>
      </c>
      <c r="O47">
        <f t="shared" si="0"/>
        <v>1609</v>
      </c>
      <c r="P47">
        <f t="shared" si="0"/>
        <v>5</v>
      </c>
    </row>
    <row r="48" spans="1:16" x14ac:dyDescent="0.2">
      <c r="C48" s="2" t="s">
        <v>113</v>
      </c>
      <c r="E48" s="2">
        <f>SUMIF($A:$A,"*还原*",E:E)</f>
        <v>457</v>
      </c>
      <c r="F48" s="2"/>
      <c r="G48" s="2"/>
      <c r="H48" s="2"/>
      <c r="I48" s="2"/>
      <c r="J48" s="2"/>
      <c r="K48" s="2">
        <f t="shared" ref="F48:P48" si="1">SUMIF($A:$A,"*还原*",K:K)</f>
        <v>32</v>
      </c>
      <c r="L48" s="2">
        <f t="shared" si="1"/>
        <v>1</v>
      </c>
      <c r="M48" s="2">
        <f t="shared" si="1"/>
        <v>2</v>
      </c>
      <c r="N48" s="2">
        <f t="shared" si="1"/>
        <v>4</v>
      </c>
      <c r="O48" s="2">
        <f t="shared" si="1"/>
        <v>7</v>
      </c>
      <c r="P48" s="2">
        <f t="shared" si="1"/>
        <v>0</v>
      </c>
    </row>
    <row r="49" spans="3:16" x14ac:dyDescent="0.2">
      <c r="C49" s="2" t="s">
        <v>115</v>
      </c>
      <c r="E49" s="2">
        <f>SUM(E2:E46)</f>
        <v>38300</v>
      </c>
      <c r="F49" s="2"/>
      <c r="G49" s="2"/>
      <c r="H49" s="2"/>
      <c r="I49" s="2"/>
      <c r="J49" s="2"/>
      <c r="K49" s="2">
        <f t="shared" ref="F49:P49" si="2">SUM(K2:K46)</f>
        <v>719</v>
      </c>
      <c r="L49" s="2">
        <f t="shared" si="2"/>
        <v>67</v>
      </c>
      <c r="M49" s="2">
        <f t="shared" si="2"/>
        <v>59</v>
      </c>
      <c r="N49" s="2">
        <f t="shared" si="2"/>
        <v>108</v>
      </c>
      <c r="O49" s="2">
        <f t="shared" si="2"/>
        <v>1616</v>
      </c>
      <c r="P49" s="2">
        <f t="shared" si="2"/>
        <v>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宇航 裴</cp:lastModifiedBy>
  <dcterms:modified xsi:type="dcterms:W3CDTF">2026-09-19T07:40:16Z</dcterms:modified>
</cp:coreProperties>
</file>