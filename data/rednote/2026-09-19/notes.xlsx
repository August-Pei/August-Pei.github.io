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yh/Documents/Program/My Site/data/rednote/2026-09-19/"/>
    </mc:Choice>
  </mc:AlternateContent>
  <xr:revisionPtr revIDLastSave="0" documentId="13_ncr:1_{9DFE6A4A-8BDF-DA47-8459-45C20344ADB8}" xr6:coauthVersionLast="47" xr6:coauthVersionMax="47" xr10:uidLastSave="{00000000-0000-0000-0000-000000000000}"/>
  <bookViews>
    <workbookView xWindow="0" yWindow="600" windowWidth="60160" windowHeight="33240" xr2:uid="{00000000-000D-0000-FFFF-FFFF00000000}"/>
  </bookViews>
  <sheets>
    <sheet name="全部笔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F57" i="1"/>
  <c r="E57" i="1"/>
  <c r="G57" i="1"/>
  <c r="I57" i="1"/>
  <c r="F56" i="1"/>
  <c r="G56" i="1"/>
  <c r="H56" i="1"/>
  <c r="I56" i="1"/>
  <c r="E56" i="1"/>
  <c r="F55" i="1"/>
  <c r="G55" i="1"/>
  <c r="H55" i="1"/>
  <c r="I55" i="1"/>
  <c r="E55" i="1"/>
</calcChain>
</file>

<file path=xl/sharedStrings.xml><?xml version="1.0" encoding="utf-8"?>
<sst xmlns="http://schemas.openxmlformats.org/spreadsheetml/2006/main" count="225" uniqueCount="174">
  <si>
    <t>笔记ID</t>
  </si>
  <si>
    <t>标题</t>
  </si>
  <si>
    <t>发布时间</t>
  </si>
  <si>
    <t>笔记类型</t>
  </si>
  <si>
    <t>浏览量</t>
  </si>
  <si>
    <t>点赞量</t>
  </si>
  <si>
    <t>收藏量</t>
  </si>
  <si>
    <t>评论数</t>
  </si>
  <si>
    <t>转发数</t>
  </si>
  <si>
    <t>6aab4a50000000002802d81b</t>
  </si>
  <si>
    <t>Apple Music歌手新页面集合4</t>
  </si>
  <si>
    <t>2026-09-17 11:55</t>
  </si>
  <si>
    <t>normal</t>
  </si>
  <si>
    <t>6aaa14440000000011031154</t>
  </si>
  <si>
    <t>Apple Music音乐家个人界面</t>
  </si>
  <si>
    <t>2026-09-16 12:00</t>
  </si>
  <si>
    <t>6aa8c1c6000000002502fcb7</t>
  </si>
  <si>
    <t>Apple Music歌手新页面集合3</t>
  </si>
  <si>
    <t>2026-09-15 11:55</t>
  </si>
  <si>
    <t>6aa76d47000000002802f406</t>
  </si>
  <si>
    <t>Apple Music歌手新页面集合2</t>
  </si>
  <si>
    <t>2026-09-14 11:55</t>
  </si>
  <si>
    <t>6aa640cd000000002502ebe6</t>
  </si>
  <si>
    <t>Blank Space 空白格鼓组还原🥁</t>
  </si>
  <si>
    <t>2026-09-13 14:21</t>
  </si>
  <si>
    <t>video</t>
  </si>
  <si>
    <t>6aa257e70000000011035826</t>
  </si>
  <si>
    <t>Blank Space 空白格编曲还原</t>
  </si>
  <si>
    <t>2026-09-10 15:10</t>
  </si>
  <si>
    <t>6aa16835000000000d024bfb</t>
  </si>
  <si>
    <t>Apple Music 动态封面 | Ep31</t>
  </si>
  <si>
    <t>2026-09-09 22:07</t>
  </si>
  <si>
    <t>6a9cf2f5000000000d027a5a</t>
  </si>
  <si>
    <t>Apple Music 动态封面 | Ep30</t>
  </si>
  <si>
    <t>2026-09-06 12:58</t>
  </si>
  <si>
    <t>6a95209e00000000200336eb</t>
  </si>
  <si>
    <t>360 编曲还原</t>
  </si>
  <si>
    <t>2026-08-31 14:35</t>
  </si>
  <si>
    <t>6a93c9e9000000002103265d</t>
  </si>
  <si>
    <t>Apple Music 动态封面 | Ep29</t>
  </si>
  <si>
    <t>2026-08-30 14:12</t>
  </si>
  <si>
    <t>6a77fbe300000000050316da</t>
  </si>
  <si>
    <t>BIRDS OF A FEATHER 鸟毛编曲还原</t>
  </si>
  <si>
    <t>2026-08-09 12:02</t>
  </si>
  <si>
    <t>6a719ebd0000000005032ba7</t>
  </si>
  <si>
    <t>Apple Music抽象封面1</t>
  </si>
  <si>
    <t>2026-08-04 16:11</t>
  </si>
  <si>
    <t>6a6efb73000000000502b5d1</t>
  </si>
  <si>
    <t>Apple Music 动态封面 | Ep28</t>
  </si>
  <si>
    <t>2026-08-02 16:10</t>
  </si>
  <si>
    <t>6a6c453400000000250074bd</t>
  </si>
  <si>
    <t>Apple Music 动态封面 | Ep27</t>
  </si>
  <si>
    <t>2026-07-31 14:48</t>
  </si>
  <si>
    <t>6a69a845000000000100cfec</t>
  </si>
  <si>
    <t>Apple Music 动态封面 | Ep. 26</t>
  </si>
  <si>
    <t>2026-07-29 15:14</t>
  </si>
  <si>
    <t>6a6728df000000000100eba2</t>
  </si>
  <si>
    <t>公司遇到消人栓 吓哭了</t>
  </si>
  <si>
    <t>2026-07-27 17:46</t>
  </si>
  <si>
    <t>6a671e6b00000000010020df</t>
  </si>
  <si>
    <t>Apple Music 动态封面 | Ep. 25</t>
  </si>
  <si>
    <t>2026-07-27 17:01</t>
  </si>
  <si>
    <t>6a631762000000000401f31e</t>
  </si>
  <si>
    <t>Apple Music 动态封面 | Ep24</t>
  </si>
  <si>
    <t>2026-07-24 15:42</t>
  </si>
  <si>
    <t>6a27fdfd000000001702bc83</t>
  </si>
  <si>
    <t>Apple Music歌手新页面集合1</t>
  </si>
  <si>
    <t>2026-06-09 19:50</t>
  </si>
  <si>
    <t>6a27c880000000001702ebc1</t>
  </si>
  <si>
    <t>Apple Music支持横屏歌词啦</t>
  </si>
  <si>
    <t>2026-06-09 16:02</t>
  </si>
  <si>
    <t>6a279cfe0000000015027330</t>
  </si>
  <si>
    <t>Apple Music 动态封面 | Ep23</t>
  </si>
  <si>
    <t>2026-06-09 12:56</t>
  </si>
  <si>
    <t>6a17f5e7000000003700e101</t>
  </si>
  <si>
    <t>Apple Music 动态封面 | Ep22</t>
  </si>
  <si>
    <t>2026-05-28 15:59</t>
  </si>
  <si>
    <t>6a11794500000000370368e5</t>
  </si>
  <si>
    <t>Apple Music全屏不动态封面3</t>
  </si>
  <si>
    <t>2026-05-23 17:54</t>
  </si>
  <si>
    <t>6a0d268900000000360329a8</t>
  </si>
  <si>
    <t>Apple Music 动态封面 | Ep21</t>
  </si>
  <si>
    <t>2026-05-20 11:55</t>
  </si>
  <si>
    <t>6a02b5cf000000003603170c</t>
  </si>
  <si>
    <t>Apple Music 动态封面 | Ep20</t>
  </si>
  <si>
    <t>2026-05-12 13:08</t>
  </si>
  <si>
    <t>69fdd14c000000003601fde2</t>
  </si>
  <si>
    <t>Apple Music动态封面 | Ep19</t>
  </si>
  <si>
    <t>2026-05-08 20:04</t>
  </si>
  <si>
    <t>69e85b73000000002102c2ed</t>
  </si>
  <si>
    <t>Apple Music 动态封面 | Ep18</t>
  </si>
  <si>
    <t>2026-04-22 13:24</t>
  </si>
  <si>
    <t>69e0b6de0000000021038b69</t>
  </si>
  <si>
    <t>Apple Music全屏不动态封面2</t>
  </si>
  <si>
    <t>2026-04-16 18:15</t>
  </si>
  <si>
    <t>69d48d6a00000000220030d9</t>
  </si>
  <si>
    <t>Apple Music 动态封面 | Ep17</t>
  </si>
  <si>
    <t>2026-04-07 12:51</t>
  </si>
  <si>
    <t>69ccf5de0000000022001957</t>
  </si>
  <si>
    <t>Apple Music 动态封面 | Ep16</t>
  </si>
  <si>
    <t>2026-04-01 18:39</t>
  </si>
  <si>
    <t>69bd561b000000001a028ca5</t>
  </si>
  <si>
    <t>Apple Music全屏不动态封面1</t>
  </si>
  <si>
    <t>2026-03-20 22:13</t>
  </si>
  <si>
    <t>69ba80d90000000021013818</t>
  </si>
  <si>
    <t>Apple Music 动态封面 | Ep15</t>
  </si>
  <si>
    <t>2026-03-18 18:39</t>
  </si>
  <si>
    <t>69b15630000000001d012c86</t>
  </si>
  <si>
    <t>Apple Music 动态封面 | Ep14</t>
  </si>
  <si>
    <t>2026-03-11 19:46</t>
  </si>
  <si>
    <t>69a99a6e00000000150381be</t>
  </si>
  <si>
    <t>Apple Music 动态封面 | Ep13</t>
  </si>
  <si>
    <t>2026-03-06 11:55</t>
  </si>
  <si>
    <t>69a4ef4f000000001d010e1f</t>
  </si>
  <si>
    <t>Apple Music 动态封面 | Ep12</t>
  </si>
  <si>
    <t>2026-03-02 11:55</t>
  </si>
  <si>
    <t>69a14b8b000000001600bdde</t>
  </si>
  <si>
    <t>Apple Music 动态封面 | Ep11</t>
  </si>
  <si>
    <t>2026-02-27 17:55</t>
  </si>
  <si>
    <t>699fb7f00000000015023050</t>
  </si>
  <si>
    <t>Apple Music番外 | 被AI封面欢乐谷效应创飞</t>
  </si>
  <si>
    <t>2026-02-26 11:55</t>
  </si>
  <si>
    <t>699d205f00000000150301a9</t>
  </si>
  <si>
    <t>Apple Music 动态封面 | Ep10</t>
  </si>
  <si>
    <t>2026-02-24 11:55</t>
  </si>
  <si>
    <t>699a73730000000015022a40</t>
  </si>
  <si>
    <t>Apple Music 动态封面 | Ep9</t>
  </si>
  <si>
    <t>2026-02-22 11:55</t>
  </si>
  <si>
    <t>6997d9cc0000000015030ef2</t>
  </si>
  <si>
    <t>Apple Music 动态封面 | Ep8</t>
  </si>
  <si>
    <t>2026-02-20 11:55</t>
  </si>
  <si>
    <t>6993efaf00000000150321d6</t>
  </si>
  <si>
    <t>iOS26.4新功能 专辑页面更沉浸啦</t>
  </si>
  <si>
    <t>2026-02-17 12:33</t>
  </si>
  <si>
    <t>6992ded5000000001d0242cf</t>
  </si>
  <si>
    <t>Apple Music 动态封面 | Ep7</t>
  </si>
  <si>
    <t>2026-02-16 17:09</t>
  </si>
  <si>
    <t>698f57fa000000001d01341b</t>
  </si>
  <si>
    <t>Apple Music 动态封面 | Ep6</t>
  </si>
  <si>
    <t>2026-02-14 11:55</t>
  </si>
  <si>
    <t>698c1499000000001d0124e2</t>
  </si>
  <si>
    <t>Apple Music 动态封面 | Ep5</t>
  </si>
  <si>
    <t>2026-02-12 11:55</t>
  </si>
  <si>
    <t>6988c8c7000000001600bb88</t>
  </si>
  <si>
    <t>Apple Music 动态封面 | Ep4</t>
  </si>
  <si>
    <t>2026-02-09 11:55</t>
  </si>
  <si>
    <t>6984a77d000000002202e2cb</t>
  </si>
  <si>
    <t>Apple Music 动态封面 | Ep3</t>
  </si>
  <si>
    <t>2026-02-06 11:55</t>
  </si>
  <si>
    <t>69808e7e000000002103f217</t>
  </si>
  <si>
    <t>Apple Music 动态封面 | Ep2</t>
  </si>
  <si>
    <t>2026-02-02 19:46</t>
  </si>
  <si>
    <t>697b3c0d00000000220395fb</t>
  </si>
  <si>
    <t>Apple Music 动态封面 | Ep1</t>
  </si>
  <si>
    <t>2026-01-30 11:55</t>
  </si>
  <si>
    <t>673c8623000000000202e1c7</t>
  </si>
  <si>
    <t>gxyy开发率不足80亿分之一！！！</t>
  </si>
  <si>
    <t>2024-11-19 20:35</t>
  </si>
  <si>
    <t>66dd63b40000000027003c39</t>
  </si>
  <si>
    <t>浙大研究生开学典礼😆</t>
  </si>
  <si>
    <t>2024-09-08 16:43</t>
  </si>
  <si>
    <t>66a5e5cd00000000050390ae</t>
  </si>
  <si>
    <t>Vision Pro体验：惊艳与小失望并存</t>
  </si>
  <si>
    <t>2024-07-28 14:31</t>
  </si>
  <si>
    <t>669875e500000000030279cd</t>
  </si>
  <si>
    <t>深深怀念小学和初中啊🥺🥺🥺</t>
  </si>
  <si>
    <t>2024-07-18 09:54</t>
  </si>
  <si>
    <t>667631b4000000001d0198b1</t>
  </si>
  <si>
    <t>浙江大学迎光启程毕业影响展</t>
  </si>
  <si>
    <t>2024-06-22 10:06</t>
  </si>
  <si>
    <t xml:space="preserve">Apple Music </t>
  </si>
  <si>
    <t>编曲还原</t>
  </si>
  <si>
    <t>总计</t>
  </si>
  <si>
    <t>粉丝数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</si>
</sst>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等线"/>
    </font>
    <font>
      <b/>
      <sz val="11"/>
      <name val="等线"/>
      <family val="4"/>
      <charset val="134"/>
    </font>
    <font>
      <sz val="11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zoomScale="134" workbookViewId="0">
      <pane ySplit="1" topLeftCell="A2" activePane="bottomLeft" state="frozen"/>
      <selection pane="bottomLeft" activeCell="J44" sqref="J44"/>
    </sheetView>
  </sheetViews>
  <sheetFormatPr baseColWidth="10" defaultRowHeight="15"/>
  <cols>
    <col min="1" max="1" width="30" customWidth="1"/>
    <col min="2" max="2" width="42.5" customWidth="1"/>
    <col min="3" max="3" width="17.83203125" customWidth="1"/>
    <col min="4" max="4" width="13.1640625" customWidth="1"/>
    <col min="5" max="9" width="10.332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173</v>
      </c>
    </row>
    <row r="2" spans="1:10">
      <c r="A2" t="s">
        <v>9</v>
      </c>
      <c r="B2" t="s">
        <v>10</v>
      </c>
      <c r="C2" t="s">
        <v>11</v>
      </c>
      <c r="D2" t="s">
        <v>12</v>
      </c>
      <c r="E2">
        <v>36</v>
      </c>
      <c r="F2">
        <v>4</v>
      </c>
      <c r="G2">
        <v>1</v>
      </c>
      <c r="H2">
        <v>0</v>
      </c>
      <c r="I2">
        <v>0</v>
      </c>
    </row>
    <row r="3" spans="1:10">
      <c r="A3" t="s">
        <v>13</v>
      </c>
      <c r="B3" t="s">
        <v>14</v>
      </c>
      <c r="C3" t="s">
        <v>15</v>
      </c>
      <c r="D3" t="s">
        <v>12</v>
      </c>
      <c r="E3">
        <v>21816</v>
      </c>
      <c r="F3">
        <v>1646</v>
      </c>
      <c r="G3">
        <v>219</v>
      </c>
      <c r="H3">
        <v>174</v>
      </c>
      <c r="I3">
        <v>560</v>
      </c>
    </row>
    <row r="4" spans="1:10">
      <c r="A4" t="s">
        <v>16</v>
      </c>
      <c r="B4" t="s">
        <v>17</v>
      </c>
      <c r="C4" t="s">
        <v>18</v>
      </c>
      <c r="D4" t="s">
        <v>12</v>
      </c>
      <c r="E4">
        <v>325</v>
      </c>
      <c r="F4">
        <v>26</v>
      </c>
      <c r="G4">
        <v>5</v>
      </c>
      <c r="H4">
        <v>7</v>
      </c>
      <c r="I4">
        <v>2</v>
      </c>
    </row>
    <row r="5" spans="1:10">
      <c r="A5" t="s">
        <v>19</v>
      </c>
      <c r="B5" t="s">
        <v>20</v>
      </c>
      <c r="C5" t="s">
        <v>21</v>
      </c>
      <c r="D5" t="s">
        <v>12</v>
      </c>
      <c r="E5">
        <v>2536</v>
      </c>
      <c r="F5">
        <v>69</v>
      </c>
      <c r="G5">
        <v>9</v>
      </c>
      <c r="H5">
        <v>30</v>
      </c>
      <c r="I5">
        <v>17</v>
      </c>
    </row>
    <row r="6" spans="1:10">
      <c r="A6" t="s">
        <v>22</v>
      </c>
      <c r="B6" t="s">
        <v>23</v>
      </c>
      <c r="C6" t="s">
        <v>24</v>
      </c>
      <c r="D6" t="s">
        <v>25</v>
      </c>
      <c r="E6">
        <v>521</v>
      </c>
      <c r="F6">
        <v>61</v>
      </c>
      <c r="G6">
        <v>9</v>
      </c>
      <c r="H6">
        <v>9</v>
      </c>
      <c r="I6">
        <v>3</v>
      </c>
    </row>
    <row r="7" spans="1:10">
      <c r="A7" t="s">
        <v>26</v>
      </c>
      <c r="B7" t="s">
        <v>27</v>
      </c>
      <c r="C7" t="s">
        <v>28</v>
      </c>
      <c r="D7" t="s">
        <v>25</v>
      </c>
      <c r="E7">
        <v>697</v>
      </c>
      <c r="F7">
        <v>87</v>
      </c>
      <c r="G7">
        <v>20</v>
      </c>
      <c r="H7">
        <v>11</v>
      </c>
      <c r="I7">
        <v>2</v>
      </c>
    </row>
    <row r="8" spans="1:10">
      <c r="A8" t="s">
        <v>29</v>
      </c>
      <c r="B8" t="s">
        <v>30</v>
      </c>
      <c r="C8" t="s">
        <v>31</v>
      </c>
      <c r="D8" t="s">
        <v>25</v>
      </c>
      <c r="E8">
        <v>11</v>
      </c>
      <c r="F8">
        <v>1</v>
      </c>
      <c r="G8">
        <v>1</v>
      </c>
      <c r="H8">
        <v>0</v>
      </c>
      <c r="I8">
        <v>0</v>
      </c>
    </row>
    <row r="9" spans="1:10">
      <c r="A9" t="s">
        <v>32</v>
      </c>
      <c r="B9" t="s">
        <v>33</v>
      </c>
      <c r="C9" t="s">
        <v>34</v>
      </c>
      <c r="D9" t="s">
        <v>25</v>
      </c>
      <c r="E9">
        <v>1924</v>
      </c>
      <c r="F9">
        <v>107</v>
      </c>
      <c r="G9">
        <v>21</v>
      </c>
      <c r="H9">
        <v>19</v>
      </c>
      <c r="I9">
        <v>3</v>
      </c>
    </row>
    <row r="10" spans="1:10">
      <c r="A10" t="s">
        <v>35</v>
      </c>
      <c r="B10" t="s">
        <v>36</v>
      </c>
      <c r="C10" t="s">
        <v>37</v>
      </c>
      <c r="D10" t="s">
        <v>25</v>
      </c>
      <c r="E10">
        <v>1560</v>
      </c>
      <c r="F10">
        <v>224</v>
      </c>
      <c r="G10">
        <v>38</v>
      </c>
      <c r="H10">
        <v>20</v>
      </c>
      <c r="I10">
        <v>12</v>
      </c>
    </row>
    <row r="11" spans="1:10">
      <c r="A11" t="s">
        <v>38</v>
      </c>
      <c r="B11" t="s">
        <v>39</v>
      </c>
      <c r="C11" t="s">
        <v>40</v>
      </c>
      <c r="D11" t="s">
        <v>25</v>
      </c>
      <c r="E11">
        <v>2089</v>
      </c>
      <c r="F11">
        <v>64</v>
      </c>
      <c r="G11">
        <v>15</v>
      </c>
      <c r="H11">
        <v>7</v>
      </c>
      <c r="I11">
        <v>2</v>
      </c>
    </row>
    <row r="12" spans="1:10">
      <c r="A12" t="s">
        <v>41</v>
      </c>
      <c r="B12" t="s">
        <v>42</v>
      </c>
      <c r="C12" t="s">
        <v>43</v>
      </c>
      <c r="D12" t="s">
        <v>25</v>
      </c>
      <c r="E12">
        <v>1944</v>
      </c>
      <c r="F12">
        <v>176</v>
      </c>
      <c r="G12">
        <v>31</v>
      </c>
      <c r="H12">
        <v>18</v>
      </c>
      <c r="I12">
        <v>7</v>
      </c>
    </row>
    <row r="13" spans="1:10">
      <c r="A13" t="s">
        <v>44</v>
      </c>
      <c r="B13" t="s">
        <v>45</v>
      </c>
      <c r="C13" t="s">
        <v>46</v>
      </c>
      <c r="D13" t="s">
        <v>25</v>
      </c>
      <c r="E13">
        <v>3</v>
      </c>
      <c r="F13">
        <v>1</v>
      </c>
      <c r="G13">
        <v>1</v>
      </c>
      <c r="H13">
        <v>0</v>
      </c>
      <c r="I13">
        <v>0</v>
      </c>
    </row>
    <row r="14" spans="1:10">
      <c r="A14" t="s">
        <v>47</v>
      </c>
      <c r="B14" t="s">
        <v>48</v>
      </c>
      <c r="C14" t="s">
        <v>49</v>
      </c>
      <c r="D14" t="s">
        <v>25</v>
      </c>
      <c r="E14">
        <v>483</v>
      </c>
      <c r="F14">
        <v>11</v>
      </c>
      <c r="G14">
        <v>4</v>
      </c>
      <c r="H14">
        <v>1</v>
      </c>
      <c r="I14">
        <v>2</v>
      </c>
    </row>
    <row r="15" spans="1:10">
      <c r="A15" t="s">
        <v>50</v>
      </c>
      <c r="B15" t="s">
        <v>51</v>
      </c>
      <c r="C15" t="s">
        <v>52</v>
      </c>
      <c r="D15" t="s">
        <v>25</v>
      </c>
      <c r="E15">
        <v>5563</v>
      </c>
      <c r="F15">
        <v>95</v>
      </c>
      <c r="G15">
        <v>10</v>
      </c>
      <c r="H15">
        <v>9</v>
      </c>
      <c r="I15">
        <v>10</v>
      </c>
    </row>
    <row r="16" spans="1:10">
      <c r="A16" t="s">
        <v>53</v>
      </c>
      <c r="B16" t="s">
        <v>54</v>
      </c>
      <c r="C16" t="s">
        <v>55</v>
      </c>
      <c r="D16" t="s">
        <v>25</v>
      </c>
      <c r="E16">
        <v>674</v>
      </c>
      <c r="F16">
        <v>18</v>
      </c>
      <c r="G16">
        <v>4</v>
      </c>
      <c r="H16">
        <v>5</v>
      </c>
      <c r="I16">
        <v>1</v>
      </c>
    </row>
    <row r="17" spans="1:9">
      <c r="A17" t="s">
        <v>56</v>
      </c>
      <c r="B17" t="s">
        <v>57</v>
      </c>
      <c r="C17" t="s">
        <v>58</v>
      </c>
      <c r="D17" t="s">
        <v>12</v>
      </c>
      <c r="E17">
        <v>171</v>
      </c>
      <c r="F17">
        <v>11</v>
      </c>
      <c r="G17">
        <v>2</v>
      </c>
      <c r="H17">
        <v>3</v>
      </c>
      <c r="I17">
        <v>2</v>
      </c>
    </row>
    <row r="18" spans="1:9">
      <c r="A18" t="s">
        <v>59</v>
      </c>
      <c r="B18" t="s">
        <v>60</v>
      </c>
      <c r="C18" t="s">
        <v>61</v>
      </c>
      <c r="D18" t="s">
        <v>25</v>
      </c>
      <c r="E18">
        <v>5437</v>
      </c>
      <c r="F18">
        <v>102</v>
      </c>
      <c r="G18">
        <v>19</v>
      </c>
      <c r="H18">
        <v>11</v>
      </c>
      <c r="I18">
        <v>5</v>
      </c>
    </row>
    <row r="19" spans="1:9">
      <c r="A19" t="s">
        <v>62</v>
      </c>
      <c r="B19" t="s">
        <v>63</v>
      </c>
      <c r="C19" t="s">
        <v>64</v>
      </c>
      <c r="D19" t="s">
        <v>25</v>
      </c>
      <c r="E19">
        <v>508</v>
      </c>
      <c r="F19">
        <v>13</v>
      </c>
      <c r="G19">
        <v>4</v>
      </c>
      <c r="H19">
        <v>2</v>
      </c>
      <c r="I19">
        <v>0</v>
      </c>
    </row>
    <row r="20" spans="1:9">
      <c r="A20" t="s">
        <v>65</v>
      </c>
      <c r="B20" t="s">
        <v>66</v>
      </c>
      <c r="C20" t="s">
        <v>67</v>
      </c>
      <c r="D20" t="s">
        <v>12</v>
      </c>
      <c r="E20">
        <v>667</v>
      </c>
      <c r="F20">
        <v>25</v>
      </c>
      <c r="G20">
        <v>2</v>
      </c>
      <c r="H20">
        <v>6</v>
      </c>
      <c r="I20">
        <v>6</v>
      </c>
    </row>
    <row r="21" spans="1:9">
      <c r="A21" t="s">
        <v>68</v>
      </c>
      <c r="B21" t="s">
        <v>69</v>
      </c>
      <c r="C21" t="s">
        <v>70</v>
      </c>
      <c r="D21" t="s">
        <v>12</v>
      </c>
      <c r="E21">
        <v>1780</v>
      </c>
      <c r="F21">
        <v>47</v>
      </c>
      <c r="G21">
        <v>6</v>
      </c>
      <c r="H21">
        <v>7</v>
      </c>
      <c r="I21">
        <v>3</v>
      </c>
    </row>
    <row r="22" spans="1:9">
      <c r="A22" t="s">
        <v>71</v>
      </c>
      <c r="B22" t="s">
        <v>72</v>
      </c>
      <c r="C22" t="s">
        <v>73</v>
      </c>
      <c r="D22" t="s">
        <v>25</v>
      </c>
      <c r="E22">
        <v>3021</v>
      </c>
      <c r="F22">
        <v>62</v>
      </c>
      <c r="G22">
        <v>14</v>
      </c>
      <c r="H22">
        <v>5</v>
      </c>
      <c r="I22">
        <v>4</v>
      </c>
    </row>
    <row r="23" spans="1:9">
      <c r="A23" t="s">
        <v>74</v>
      </c>
      <c r="B23" t="s">
        <v>75</v>
      </c>
      <c r="C23" t="s">
        <v>76</v>
      </c>
      <c r="D23" t="s">
        <v>25</v>
      </c>
      <c r="E23">
        <v>828</v>
      </c>
      <c r="F23">
        <v>38</v>
      </c>
      <c r="G23">
        <v>2</v>
      </c>
      <c r="H23">
        <v>7</v>
      </c>
      <c r="I23">
        <v>0</v>
      </c>
    </row>
    <row r="24" spans="1:9">
      <c r="A24" t="s">
        <v>77</v>
      </c>
      <c r="B24" t="s">
        <v>78</v>
      </c>
      <c r="C24" t="s">
        <v>79</v>
      </c>
      <c r="D24" t="s">
        <v>12</v>
      </c>
      <c r="E24">
        <v>643</v>
      </c>
      <c r="F24">
        <v>18</v>
      </c>
      <c r="G24">
        <v>3</v>
      </c>
      <c r="H24">
        <v>3</v>
      </c>
      <c r="I24">
        <v>0</v>
      </c>
    </row>
    <row r="25" spans="1:9">
      <c r="A25" t="s">
        <v>80</v>
      </c>
      <c r="B25" t="s">
        <v>81</v>
      </c>
      <c r="C25" t="s">
        <v>82</v>
      </c>
      <c r="D25" t="s">
        <v>25</v>
      </c>
      <c r="E25">
        <v>1481</v>
      </c>
      <c r="F25">
        <v>40</v>
      </c>
      <c r="G25">
        <v>10</v>
      </c>
      <c r="H25">
        <v>7</v>
      </c>
      <c r="I25">
        <v>6</v>
      </c>
    </row>
    <row r="26" spans="1:9">
      <c r="A26" t="s">
        <v>83</v>
      </c>
      <c r="B26" t="s">
        <v>84</v>
      </c>
      <c r="C26" t="s">
        <v>85</v>
      </c>
      <c r="D26" t="s">
        <v>25</v>
      </c>
      <c r="E26">
        <v>432</v>
      </c>
      <c r="F26">
        <v>6</v>
      </c>
      <c r="G26">
        <v>1</v>
      </c>
      <c r="H26">
        <v>3</v>
      </c>
      <c r="I26">
        <v>0</v>
      </c>
    </row>
    <row r="27" spans="1:9">
      <c r="A27" t="s">
        <v>86</v>
      </c>
      <c r="B27" t="s">
        <v>87</v>
      </c>
      <c r="C27" t="s">
        <v>88</v>
      </c>
      <c r="D27" t="s">
        <v>25</v>
      </c>
      <c r="E27">
        <v>1756</v>
      </c>
      <c r="F27">
        <v>36</v>
      </c>
      <c r="G27">
        <v>6</v>
      </c>
      <c r="H27">
        <v>6</v>
      </c>
      <c r="I27">
        <v>2</v>
      </c>
    </row>
    <row r="28" spans="1:9">
      <c r="A28" t="s">
        <v>89</v>
      </c>
      <c r="B28" t="s">
        <v>90</v>
      </c>
      <c r="C28" t="s">
        <v>91</v>
      </c>
      <c r="D28" t="s">
        <v>25</v>
      </c>
      <c r="E28">
        <v>1171</v>
      </c>
      <c r="F28">
        <v>53</v>
      </c>
      <c r="G28">
        <v>11</v>
      </c>
      <c r="H28">
        <v>0</v>
      </c>
      <c r="I28">
        <v>2</v>
      </c>
    </row>
    <row r="29" spans="1:9">
      <c r="A29" t="s">
        <v>92</v>
      </c>
      <c r="B29" t="s">
        <v>93</v>
      </c>
      <c r="C29" t="s">
        <v>94</v>
      </c>
      <c r="D29" t="s">
        <v>12</v>
      </c>
      <c r="E29">
        <v>340</v>
      </c>
      <c r="F29">
        <v>16</v>
      </c>
      <c r="G29">
        <v>5</v>
      </c>
      <c r="H29">
        <v>1</v>
      </c>
      <c r="I29">
        <v>1</v>
      </c>
    </row>
    <row r="30" spans="1:9">
      <c r="A30" t="s">
        <v>95</v>
      </c>
      <c r="B30" t="s">
        <v>96</v>
      </c>
      <c r="C30" t="s">
        <v>97</v>
      </c>
      <c r="D30" t="s">
        <v>25</v>
      </c>
      <c r="E30">
        <v>3464</v>
      </c>
      <c r="F30">
        <v>32</v>
      </c>
      <c r="G30">
        <v>6</v>
      </c>
      <c r="H30">
        <v>8</v>
      </c>
      <c r="I30">
        <v>2</v>
      </c>
    </row>
    <row r="31" spans="1:9">
      <c r="A31" t="s">
        <v>98</v>
      </c>
      <c r="B31" t="s">
        <v>99</v>
      </c>
      <c r="C31" t="s">
        <v>100</v>
      </c>
      <c r="D31" t="s">
        <v>25</v>
      </c>
      <c r="E31">
        <v>2393</v>
      </c>
      <c r="F31">
        <v>44</v>
      </c>
      <c r="G31">
        <v>5</v>
      </c>
      <c r="H31">
        <v>6</v>
      </c>
      <c r="I31">
        <v>2</v>
      </c>
    </row>
    <row r="32" spans="1:9">
      <c r="A32" t="s">
        <v>101</v>
      </c>
      <c r="B32" t="s">
        <v>102</v>
      </c>
      <c r="C32" t="s">
        <v>103</v>
      </c>
      <c r="D32" t="s">
        <v>12</v>
      </c>
      <c r="E32">
        <v>9030</v>
      </c>
      <c r="F32">
        <v>221</v>
      </c>
      <c r="G32">
        <v>20</v>
      </c>
      <c r="H32">
        <v>49</v>
      </c>
      <c r="I32">
        <v>15</v>
      </c>
    </row>
    <row r="33" spans="1:9">
      <c r="A33" t="s">
        <v>104</v>
      </c>
      <c r="B33" t="s">
        <v>105</v>
      </c>
      <c r="C33" t="s">
        <v>106</v>
      </c>
      <c r="D33" t="s">
        <v>25</v>
      </c>
      <c r="E33">
        <v>10</v>
      </c>
      <c r="F33">
        <v>1</v>
      </c>
      <c r="G33">
        <v>1</v>
      </c>
      <c r="H33">
        <v>0</v>
      </c>
      <c r="I33">
        <v>0</v>
      </c>
    </row>
    <row r="34" spans="1:9">
      <c r="A34" t="s">
        <v>107</v>
      </c>
      <c r="B34" t="s">
        <v>108</v>
      </c>
      <c r="C34" t="s">
        <v>109</v>
      </c>
      <c r="D34" t="s">
        <v>25</v>
      </c>
      <c r="E34">
        <v>1454</v>
      </c>
      <c r="F34">
        <v>58</v>
      </c>
      <c r="G34">
        <v>10</v>
      </c>
      <c r="H34">
        <v>0</v>
      </c>
      <c r="I34">
        <v>3</v>
      </c>
    </row>
    <row r="35" spans="1:9">
      <c r="A35" t="s">
        <v>110</v>
      </c>
      <c r="B35" t="s">
        <v>111</v>
      </c>
      <c r="C35" t="s">
        <v>112</v>
      </c>
      <c r="D35" t="s">
        <v>25</v>
      </c>
      <c r="E35">
        <v>1363</v>
      </c>
      <c r="F35">
        <v>28</v>
      </c>
      <c r="G35">
        <v>8</v>
      </c>
      <c r="H35">
        <v>3</v>
      </c>
      <c r="I35">
        <v>4</v>
      </c>
    </row>
    <row r="36" spans="1:9">
      <c r="A36" t="s">
        <v>113</v>
      </c>
      <c r="B36" t="s">
        <v>114</v>
      </c>
      <c r="C36" t="s">
        <v>115</v>
      </c>
      <c r="D36" t="s">
        <v>25</v>
      </c>
      <c r="E36">
        <v>9862</v>
      </c>
      <c r="F36">
        <v>150</v>
      </c>
      <c r="G36">
        <v>43</v>
      </c>
      <c r="H36">
        <v>14</v>
      </c>
      <c r="I36">
        <v>18</v>
      </c>
    </row>
    <row r="37" spans="1:9">
      <c r="A37" t="s">
        <v>116</v>
      </c>
      <c r="B37" t="s">
        <v>117</v>
      </c>
      <c r="C37" t="s">
        <v>118</v>
      </c>
      <c r="D37" t="s">
        <v>25</v>
      </c>
      <c r="E37">
        <v>790</v>
      </c>
      <c r="F37">
        <v>21</v>
      </c>
      <c r="G37">
        <v>3</v>
      </c>
      <c r="H37">
        <v>0</v>
      </c>
      <c r="I37">
        <v>0</v>
      </c>
    </row>
    <row r="38" spans="1:9">
      <c r="A38" t="s">
        <v>119</v>
      </c>
      <c r="B38" t="s">
        <v>120</v>
      </c>
      <c r="C38" t="s">
        <v>121</v>
      </c>
      <c r="D38" t="s">
        <v>25</v>
      </c>
      <c r="E38">
        <v>1571</v>
      </c>
      <c r="F38">
        <v>34</v>
      </c>
      <c r="G38">
        <v>8</v>
      </c>
      <c r="H38">
        <v>4</v>
      </c>
      <c r="I38">
        <v>12</v>
      </c>
    </row>
    <row r="39" spans="1:9">
      <c r="A39" t="s">
        <v>122</v>
      </c>
      <c r="B39" t="s">
        <v>123</v>
      </c>
      <c r="C39" t="s">
        <v>124</v>
      </c>
      <c r="D39" t="s">
        <v>25</v>
      </c>
      <c r="E39">
        <v>648</v>
      </c>
      <c r="F39">
        <v>22</v>
      </c>
      <c r="G39">
        <v>3</v>
      </c>
      <c r="H39">
        <v>2</v>
      </c>
      <c r="I39">
        <v>0</v>
      </c>
    </row>
    <row r="40" spans="1:9">
      <c r="A40" t="s">
        <v>125</v>
      </c>
      <c r="B40" t="s">
        <v>126</v>
      </c>
      <c r="C40" t="s">
        <v>127</v>
      </c>
      <c r="D40" t="s">
        <v>25</v>
      </c>
      <c r="E40">
        <v>782</v>
      </c>
      <c r="F40">
        <v>30</v>
      </c>
      <c r="G40">
        <v>6</v>
      </c>
      <c r="H40">
        <v>8</v>
      </c>
      <c r="I40">
        <v>0</v>
      </c>
    </row>
    <row r="41" spans="1:9">
      <c r="A41" t="s">
        <v>128</v>
      </c>
      <c r="B41" t="s">
        <v>129</v>
      </c>
      <c r="C41" t="s">
        <v>130</v>
      </c>
      <c r="D41" t="s">
        <v>25</v>
      </c>
      <c r="E41">
        <v>1928</v>
      </c>
      <c r="F41">
        <v>43</v>
      </c>
      <c r="G41">
        <v>12</v>
      </c>
      <c r="H41">
        <v>4</v>
      </c>
      <c r="I41">
        <v>6</v>
      </c>
    </row>
    <row r="42" spans="1:9">
      <c r="A42" t="s">
        <v>131</v>
      </c>
      <c r="B42" t="s">
        <v>132</v>
      </c>
      <c r="C42" t="s">
        <v>133</v>
      </c>
      <c r="D42" t="s">
        <v>12</v>
      </c>
      <c r="E42">
        <v>7695</v>
      </c>
      <c r="F42">
        <v>151</v>
      </c>
      <c r="G42">
        <v>15</v>
      </c>
      <c r="H42">
        <v>22</v>
      </c>
      <c r="I42">
        <v>53</v>
      </c>
    </row>
    <row r="43" spans="1:9">
      <c r="A43" t="s">
        <v>134</v>
      </c>
      <c r="B43" t="s">
        <v>135</v>
      </c>
      <c r="C43" t="s">
        <v>136</v>
      </c>
      <c r="D43" t="s">
        <v>25</v>
      </c>
      <c r="E43">
        <v>559</v>
      </c>
      <c r="F43">
        <v>13</v>
      </c>
      <c r="G43">
        <v>1</v>
      </c>
      <c r="H43">
        <v>3</v>
      </c>
      <c r="I43">
        <v>1</v>
      </c>
    </row>
    <row r="44" spans="1:9">
      <c r="A44" t="s">
        <v>137</v>
      </c>
      <c r="B44" t="s">
        <v>138</v>
      </c>
      <c r="C44" t="s">
        <v>139</v>
      </c>
      <c r="D44" t="s">
        <v>25</v>
      </c>
      <c r="E44">
        <v>295</v>
      </c>
      <c r="F44">
        <v>7</v>
      </c>
      <c r="G44">
        <v>0</v>
      </c>
      <c r="H44">
        <v>1</v>
      </c>
      <c r="I44">
        <v>0</v>
      </c>
    </row>
    <row r="45" spans="1:9">
      <c r="A45" t="s">
        <v>140</v>
      </c>
      <c r="B45" t="s">
        <v>141</v>
      </c>
      <c r="C45" t="s">
        <v>142</v>
      </c>
      <c r="D45" t="s">
        <v>25</v>
      </c>
      <c r="E45">
        <v>1703</v>
      </c>
      <c r="F45">
        <v>30</v>
      </c>
      <c r="G45">
        <v>4</v>
      </c>
      <c r="H45">
        <v>10</v>
      </c>
      <c r="I45">
        <v>0</v>
      </c>
    </row>
    <row r="46" spans="1:9">
      <c r="A46" t="s">
        <v>143</v>
      </c>
      <c r="B46" t="s">
        <v>144</v>
      </c>
      <c r="C46" t="s">
        <v>145</v>
      </c>
      <c r="D46" t="s">
        <v>25</v>
      </c>
      <c r="E46">
        <v>1886</v>
      </c>
      <c r="F46">
        <v>25</v>
      </c>
      <c r="G46">
        <v>7</v>
      </c>
      <c r="H46">
        <v>2</v>
      </c>
      <c r="I46">
        <v>3</v>
      </c>
    </row>
    <row r="47" spans="1:9">
      <c r="A47" t="s">
        <v>146</v>
      </c>
      <c r="B47" t="s">
        <v>147</v>
      </c>
      <c r="C47" t="s">
        <v>148</v>
      </c>
      <c r="D47" t="s">
        <v>25</v>
      </c>
      <c r="E47">
        <v>3783</v>
      </c>
      <c r="F47">
        <v>110</v>
      </c>
      <c r="G47">
        <v>16</v>
      </c>
      <c r="H47">
        <v>20</v>
      </c>
      <c r="I47">
        <v>2</v>
      </c>
    </row>
    <row r="48" spans="1:9">
      <c r="A48" t="s">
        <v>149</v>
      </c>
      <c r="B48" t="s">
        <v>150</v>
      </c>
      <c r="C48" t="s">
        <v>151</v>
      </c>
      <c r="D48" t="s">
        <v>25</v>
      </c>
      <c r="E48">
        <v>909</v>
      </c>
      <c r="F48">
        <v>18</v>
      </c>
      <c r="G48">
        <v>1</v>
      </c>
      <c r="H48">
        <v>0</v>
      </c>
      <c r="I48">
        <v>1</v>
      </c>
    </row>
    <row r="49" spans="1:10">
      <c r="A49" t="s">
        <v>152</v>
      </c>
      <c r="B49" t="s">
        <v>153</v>
      </c>
      <c r="C49" t="s">
        <v>154</v>
      </c>
      <c r="D49" t="s">
        <v>25</v>
      </c>
      <c r="E49">
        <v>678</v>
      </c>
      <c r="F49">
        <v>15</v>
      </c>
      <c r="G49">
        <v>1</v>
      </c>
      <c r="H49">
        <v>4</v>
      </c>
      <c r="I49">
        <v>1</v>
      </c>
    </row>
    <row r="50" spans="1:10">
      <c r="A50" t="s">
        <v>155</v>
      </c>
      <c r="B50" t="s">
        <v>156</v>
      </c>
      <c r="C50" t="s">
        <v>157</v>
      </c>
      <c r="D50" t="s">
        <v>12</v>
      </c>
      <c r="E50">
        <v>41606</v>
      </c>
      <c r="F50">
        <v>1589</v>
      </c>
      <c r="G50">
        <v>201</v>
      </c>
      <c r="H50">
        <v>1005</v>
      </c>
      <c r="I50">
        <v>560</v>
      </c>
    </row>
    <row r="51" spans="1:10">
      <c r="A51" t="s">
        <v>158</v>
      </c>
      <c r="B51" t="s">
        <v>159</v>
      </c>
      <c r="C51" t="s">
        <v>160</v>
      </c>
      <c r="D51" t="s">
        <v>12</v>
      </c>
      <c r="E51">
        <v>190</v>
      </c>
      <c r="F51">
        <v>7</v>
      </c>
      <c r="G51">
        <v>0</v>
      </c>
      <c r="H51">
        <v>0</v>
      </c>
      <c r="I51">
        <v>0</v>
      </c>
    </row>
    <row r="52" spans="1:10">
      <c r="A52" t="s">
        <v>161</v>
      </c>
      <c r="B52" t="s">
        <v>162</v>
      </c>
      <c r="C52" t="s">
        <v>163</v>
      </c>
      <c r="D52" t="s">
        <v>12</v>
      </c>
      <c r="E52">
        <v>493</v>
      </c>
      <c r="F52">
        <v>9</v>
      </c>
      <c r="G52">
        <v>1</v>
      </c>
      <c r="H52">
        <v>0</v>
      </c>
      <c r="I52">
        <v>0</v>
      </c>
    </row>
    <row r="53" spans="1:10">
      <c r="A53" t="s">
        <v>164</v>
      </c>
      <c r="B53" t="s">
        <v>165</v>
      </c>
      <c r="C53" t="s">
        <v>166</v>
      </c>
      <c r="D53" t="s">
        <v>12</v>
      </c>
      <c r="E53">
        <v>1121</v>
      </c>
      <c r="F53">
        <v>13</v>
      </c>
      <c r="G53">
        <v>1</v>
      </c>
      <c r="H53">
        <v>10</v>
      </c>
      <c r="I53">
        <v>0</v>
      </c>
    </row>
    <row r="54" spans="1:10">
      <c r="A54" t="s">
        <v>167</v>
      </c>
      <c r="B54" t="s">
        <v>168</v>
      </c>
      <c r="C54" t="s">
        <v>169</v>
      </c>
      <c r="D54" t="s">
        <v>12</v>
      </c>
      <c r="E54">
        <v>326</v>
      </c>
      <c r="F54">
        <v>7</v>
      </c>
      <c r="G54">
        <v>0</v>
      </c>
      <c r="H54">
        <v>0</v>
      </c>
      <c r="I54">
        <v>0</v>
      </c>
    </row>
    <row r="55" spans="1:10">
      <c r="B55" s="2"/>
      <c r="D55" s="2" t="s">
        <v>170</v>
      </c>
      <c r="E55">
        <f>SUMIF($B:$B,"*Apple Music*",E:E)</f>
        <v>96632</v>
      </c>
      <c r="F55">
        <f>SUMIF($B:$B,"*Apple Music*",F:F)</f>
        <v>3400</v>
      </c>
      <c r="G55">
        <f t="shared" ref="G55:I55" si="0">SUMIF($B:$B,"*Apple Music*",G:G)</f>
        <v>528</v>
      </c>
      <c r="H55">
        <f t="shared" si="0"/>
        <v>448</v>
      </c>
      <c r="I55">
        <f t="shared" si="0"/>
        <v>696</v>
      </c>
    </row>
    <row r="56" spans="1:10">
      <c r="B56" s="2"/>
      <c r="D56" s="2" t="s">
        <v>171</v>
      </c>
      <c r="E56">
        <f>SUMIF($B:$B,"*还原*",E:E)</f>
        <v>4722</v>
      </c>
      <c r="F56">
        <f t="shared" ref="F56:I56" si="1">SUMIF($B:$B,"*还原*",F:F)</f>
        <v>548</v>
      </c>
      <c r="G56">
        <f t="shared" si="1"/>
        <v>98</v>
      </c>
      <c r="H56">
        <f t="shared" si="1"/>
        <v>58</v>
      </c>
      <c r="I56">
        <f t="shared" si="1"/>
        <v>24</v>
      </c>
    </row>
    <row r="57" spans="1:10">
      <c r="D57" s="2" t="s">
        <v>172</v>
      </c>
      <c r="E57">
        <f>SUM(E2:E54)</f>
        <v>152956</v>
      </c>
      <c r="F57">
        <f>SUM(F2:F54)</f>
        <v>5735</v>
      </c>
      <c r="G57">
        <f t="shared" ref="G57:I57" si="2">SUM(G2:G54)</f>
        <v>846</v>
      </c>
      <c r="H57">
        <f>SUM(H2:H54)</f>
        <v>1546</v>
      </c>
      <c r="I57">
        <f t="shared" si="2"/>
        <v>1335</v>
      </c>
      <c r="J57">
        <v>160</v>
      </c>
    </row>
  </sheetData>
  <autoFilter ref="A1:I5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全部笔记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宇航 裴</cp:lastModifiedBy>
  <dcterms:modified xsi:type="dcterms:W3CDTF">2026-09-19T12:27:12Z</dcterms:modified>
</cp:coreProperties>
</file>