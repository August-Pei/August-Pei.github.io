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yh/Documents/Program/My Site/data/TikTok/2026-09-19/"/>
    </mc:Choice>
  </mc:AlternateContent>
  <xr:revisionPtr revIDLastSave="0" documentId="13_ncr:1_{5F9C051E-60A1-974A-9D2B-90186E45C609}" xr6:coauthVersionLast="47" xr6:coauthVersionMax="47" xr10:uidLastSave="{00000000-0000-0000-0000-000000000000}"/>
  <bookViews>
    <workbookView xWindow="0" yWindow="600" windowWidth="30020" windowHeight="33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F43" i="1"/>
  <c r="G43" i="1"/>
  <c r="H43" i="1"/>
  <c r="D43" i="1"/>
  <c r="E42" i="1"/>
  <c r="F42" i="1"/>
  <c r="G42" i="1"/>
  <c r="H42" i="1"/>
  <c r="D42" i="1"/>
  <c r="E41" i="1"/>
  <c r="F41" i="1"/>
  <c r="G41" i="1"/>
  <c r="H41" i="1"/>
  <c r="D41" i="1"/>
</calcChain>
</file>

<file path=xl/sharedStrings.xml><?xml version="1.0" encoding="utf-8"?>
<sst xmlns="http://schemas.openxmlformats.org/spreadsheetml/2006/main" count="129" uniqueCount="91">
  <si>
    <t>视频ID</t>
  </si>
  <si>
    <t>视频类型</t>
  </si>
  <si>
    <t>视频描述</t>
  </si>
  <si>
    <t>播放量</t>
  </si>
  <si>
    <t>点赞量</t>
  </si>
  <si>
    <t>收藏量</t>
  </si>
  <si>
    <t>评论量</t>
  </si>
  <si>
    <t>分享量</t>
  </si>
  <si>
    <t>7687088955581402386</t>
  </si>
  <si>
    <t>视频</t>
  </si>
  <si>
    <t xml:space="preserve">Apple Music really cooked with these classical artist pages 🎻✨ signature-style names + custom portraits? Apple really said “art.” #ios27 #applemusic #classicalmusic #beethoven #mozart </t>
  </si>
  <si>
    <t>7686022585691262226</t>
  </si>
  <si>
    <t>Apple Music's new artist page 3 More &amp; More Artist Pages! Britney &amp; JENNIE’s artist pages are so pretty 😍 More Apple Music artist pages coming soon! #ios27 #applemusic #jennie #sza #britneyspears</t>
  </si>
  <si>
    <t>7685643019067870472</t>
  </si>
  <si>
    <t xml:space="preserve">Apple Music's new artist page 2 more artists' custom fonts &amp; pretty UI &gt;&gt;&gt; lisa, justin bieber, troye sivan &amp; charli xcx all just dropped new fonts recently 👀 and miley updated hers again for the new album 💅 #ios27 #applemusic #lisa #justinbieber #mileycyrus </t>
  </si>
  <si>
    <t>7685235822328548615</t>
  </si>
  <si>
    <t xml:space="preserve">Apple Music's New Artist Page 1 iOS 27 drops today! Apple Music artist pages just got a major glow-up 🔥 Background colors are way more immersive now And tons of artists even rolled out custom fonts for their eras! ✨ #ios27 #applemusic #taylorswift #brunomars #dualipa </t>
  </si>
  <si>
    <t>7684290173575679250</t>
  </si>
  <si>
    <t xml:space="preserve">Apple Music Animated Album Cover | Ep. 29 | Album Covers So Minimal They Have NOTHING Left 💀 #applemusic #charlixcx #blackpink #idle #mileycyrus </t>
  </si>
  <si>
    <t>7683545732623944968</t>
  </si>
  <si>
    <t xml:space="preserve">I remake BIRDS OF A FEATHER by Billie Eilish using Logic Pro #billieeilish #birdsofafeather #hitmehardandsoft #production #logicpro </t>
  </si>
  <si>
    <t>7682299948536188167</t>
  </si>
  <si>
    <t>Apple Music Album Cover | Special 2 | The Wierdest Album Covers in Apple Music #applemusic #avrillavigne #travisscott #icespice #robyn</t>
  </si>
  <si>
    <t>7681985073985506567</t>
  </si>
  <si>
    <t xml:space="preserve">Apple Music Animated Album Cover | Ep. 28 | Summer went away 🌴Here are some covers that scream summer #applemusic #lorde #mileycyrus #postmalone #justinbieber </t>
  </si>
  <si>
    <t>7669389084053310728</t>
  </si>
  <si>
    <t xml:space="preserve">Apple Music Animated Album Cover | Ep. 27 | Ari’s new album animated cover feels kinda lazy 😅 #applemusic #arianagrande #newjeans #selenagomez #addisonrae </t>
  </si>
  <si>
    <t>7667859044127853842</t>
  </si>
  <si>
    <t xml:space="preserve">Apple Music Animated Album Cover | Ep. 26 | Meet me at midnight 🌙 #applemusic #taylorswift #charlixcx #twice #mariahcarey </t>
  </si>
  <si>
    <t>7667136502106705170</t>
  </si>
  <si>
    <t xml:space="preserve">Apple Music Animated Album Cover | Ep. 25 | Swinging~ Love Olivia's New Album and Its Cover! AOTY! #applemusic #oliviarodrigo #ladygaga #arianagrande #megantheestallion </t>
  </si>
  <si>
    <t>7666404139580099858</t>
  </si>
  <si>
    <t xml:space="preserve">Apple Music Animated Album Cover | Ep. 24 | 🌞 A collection of covers with summer vibes! #applemusic #sabrinacarpenter #dualipa #dojacat #tyla </t>
  </si>
  <si>
    <t>7666005184484560135</t>
  </si>
  <si>
    <t xml:space="preserve">Apple Music Animated Album Cover | Ep. 23 | Wonder by Shawn Mendes has STUNNING cover! 🌊 #applemusic #shawnmendes #adele #katseye #britneyspears </t>
  </si>
  <si>
    <t>7644157239003008274</t>
  </si>
  <si>
    <t xml:space="preserve">Apple Music Animated Album Cover | Ep. 22 | Got totally wrecked by Jung Kook’s animated cover! #applemusic #jungkook #bts #dualipa #nmixx </t>
  </si>
  <si>
    <t>7643374553003085074</t>
  </si>
  <si>
    <t xml:space="preserve">Apple Music Fullscreen But Non-Animated Album Cover 3 | 🖤 Black cover is cool! #applemusic #billieeilish #drake #kendricklamar #kanyewest </t>
  </si>
  <si>
    <t>7642659310450887954</t>
  </si>
  <si>
    <t xml:space="preserve">Apple Music Animated Album Cover | Ep. 21 | Michael Jackson's cover is super classic! #applemusic #michaeljackson #ladygaga #mileycyrus #babymonster </t>
  </si>
  <si>
    <t>7641519579390397704</t>
  </si>
  <si>
    <t xml:space="preserve">Apple Music Animated Album Cover | Ep. 20 | SOUR and Other Albums Brought to Life #applemusic #oliviarodrigo #mariahcarey #heatwave #fkatwigs </t>
  </si>
  <si>
    <t>7641250700156030226</t>
  </si>
  <si>
    <t>7637842293780712711</t>
  </si>
  <si>
    <t xml:space="preserve">Apple Music Fullscreen But Non-Animated Album Cover 2 | #applemusic #theweeknd #kanyewest #frankocean #halsey </t>
  </si>
  <si>
    <t>7637438398600465671</t>
  </si>
  <si>
    <t xml:space="preserve">Apple Music Animated Album Cover | Ep. 18 | Planet Her has STUNNING animated covers! #applemusic #dojacat #drake #lisa #madonna </t>
  </si>
  <si>
    <t>7631515321257446663</t>
  </si>
  <si>
    <t xml:space="preserve">Apple Music Animated Album Cover | Ep. 17 | PinkPantheress updated animated cover for her new album! #applemusic #pinkpantheress #twice #liluzivert #aliciakeys </t>
  </si>
  <si>
    <t>7626024949517454610</t>
  </si>
  <si>
    <t xml:space="preserve">Apple Music Animated Album Cover | Ep. 16 | The Beatles’ Iconic Album Cover Has a Dynamic Effect #applemusic #thebeatles #sabrinacarpenter #coldplay #dontoliver </t>
  </si>
  <si>
    <t>7625074374684544264</t>
  </si>
  <si>
    <t xml:space="preserve">Apple Music Fullscreen But Non-Animated Album Cover 1 | Is Apple preparing for new features? #applemusic #arianagrande #bts #harrystyles #drake </t>
  </si>
  <si>
    <t>7623735292972813586</t>
  </si>
  <si>
    <t xml:space="preserve">Apple Music Animated Album Cover | Ep. 15 | Future Nostalgia has just updated its animated cover #applemusic #dualipa #bts #britneyspears #coldplay </t>
  </si>
  <si>
    <t>7618537904687549714</t>
  </si>
  <si>
    <t xml:space="preserve">Apple Music Animated Album Cover | Ep. 14 | The cover of Super Shy is SO CUTE! #applemusic #newjeans #tatemcrae #21savage #steviewonder </t>
  </si>
  <si>
    <t>7615609352581467399</t>
  </si>
  <si>
    <t>Apple Music Animated Album Cover | Ep. 13 | Covers With Sunny Weather ☀️ #applemusic #taylorswift #1989 #beyonce #coldplay</t>
  </si>
  <si>
    <t>7613002106403867912</t>
  </si>
  <si>
    <t xml:space="preserve">Apple Music Animated Album Cover | Ep. 12 | Covers With Gloomy Weather 🌧 #applemusic #drake #cardib #lukecombs #weather </t>
  </si>
  <si>
    <t>7611881095486901511</t>
  </si>
  <si>
    <t xml:space="preserve">Apple Music Animated Album Cover | Ep. 11 | Bruno Mars and Blackpink just released their new albums! #applemusic #brunomars #blackpink #gorillaz #drake </t>
  </si>
  <si>
    <t>7611131012717858055</t>
  </si>
  <si>
    <t xml:space="preserve">Apple Music Album Cover | Special 1 | Creepy AI animated covers give off an uncanny valley effect😅! #applemusic #ios #apple #mandopop #albumcover </t>
  </si>
  <si>
    <t>7610386627537440008</t>
  </si>
  <si>
    <t xml:space="preserve">Apple Music Animated Album Cover | Ep. 10 | SOS cover is breathtaking! #applemusic #sza #badbunny #gracieabrams #ordinary </t>
  </si>
  <si>
    <t>7609657680411561223</t>
  </si>
  <si>
    <t xml:space="preserve">Apple Music Animated Album Cover | Ep. 9 | Cover of LUX is just as artistic as the music itself! #applemusic #lux #drake #morganwallen #liluzivert </t>
  </si>
  <si>
    <t>7608923940328590600</t>
  </si>
  <si>
    <t>Apple Music Animated Album Cover | Ep. 8 | Love the cover of After Hours! #applemusic #theweeknd #blindinglights #choosintexas #sza</t>
  </si>
  <si>
    <t>7607392285143207186</t>
  </si>
  <si>
    <t xml:space="preserve">Apple Music Animated Album Cover | Ep. 7 | Happy Chinese New Year 🧨 Take a look at red album covers #applemusic #chinesenewyear #taylorswift #jennie #dojacat </t>
  </si>
  <si>
    <t>7606562055356681490</t>
  </si>
  <si>
    <t>Apple Music Animated Album Cover | Ep. 6 | 💘Valentine Day is here - take a Iook at pink album covers! #applemusic #valentinesday #taylorswift #dojacat #blackpink</t>
  </si>
  <si>
    <t>7605568896531402002</t>
  </si>
  <si>
    <t xml:space="preserve">Tiktok：Apple Music Animated Album Cover | Ep. 5 | folklore has the BEST animated cover among Taylor's albums! #applemusic #taylorswift #folklore #brunomars #newjeans </t>
  </si>
  <si>
    <t>7604854594421771528</t>
  </si>
  <si>
    <t xml:space="preserve">Apple Music Animated Album Cover | Ep. 4 | Do you like the cover of KPop Demon Hunters? #golden #kpopdemonhunters #billieeilish #madonna #future </t>
  </si>
  <si>
    <t>7603366649122753800</t>
  </si>
  <si>
    <t>Apple Music Animated Album Cover | Ep. 3 | Love the cover of Positions! #applemusic #arianagrande #katyperry #theweeknd #liluzivert</t>
  </si>
  <si>
    <t>7602258519429270802</t>
  </si>
  <si>
    <t xml:space="preserve">Apple Music Animated Album Cover | Ep. 2 | Grammy Winners &amp; Nominees Have Stunning Animated Covers! #grammys #applemusic #ladygaga #sabrinacarpenter #apt </t>
  </si>
  <si>
    <t>7600757968115617032</t>
  </si>
  <si>
    <t>Apple Music Animated Album Cover | Ep. 1 | #applemusic #music #taylorswift #ladygaga #drake</t>
  </si>
  <si>
    <t>Apple Music Animated Album Cover | Ep. 19 |</t>
  </si>
  <si>
    <t>Apple Music</t>
  </si>
  <si>
    <t>Remake</t>
  </si>
  <si>
    <t>All</t>
  </si>
  <si>
    <t>粉丝量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</si>
</sst>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K45" sqref="K45"/>
    </sheetView>
  </sheetViews>
  <sheetFormatPr baseColWidth="10" defaultRowHeight="16" x14ac:dyDescent="0.2"/>
  <cols>
    <col min="3" max="3" width="52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90</v>
      </c>
    </row>
    <row r="2" spans="1:9" x14ac:dyDescent="0.2">
      <c r="A2" t="s">
        <v>8</v>
      </c>
      <c r="B2" t="s">
        <v>9</v>
      </c>
      <c r="C2" t="s">
        <v>10</v>
      </c>
      <c r="D2" s="1">
        <v>171</v>
      </c>
      <c r="E2" s="1">
        <v>4</v>
      </c>
      <c r="F2" s="1">
        <v>1</v>
      </c>
      <c r="G2" s="1">
        <v>0</v>
      </c>
      <c r="H2" s="1">
        <v>1</v>
      </c>
    </row>
    <row r="3" spans="1:9" x14ac:dyDescent="0.2">
      <c r="A3" t="s">
        <v>11</v>
      </c>
      <c r="B3" t="s">
        <v>9</v>
      </c>
      <c r="C3" t="s">
        <v>12</v>
      </c>
      <c r="D3" s="1">
        <v>950</v>
      </c>
      <c r="E3" s="1">
        <v>71</v>
      </c>
      <c r="F3" s="1">
        <v>7</v>
      </c>
      <c r="G3" s="1">
        <v>0</v>
      </c>
      <c r="H3" s="1">
        <v>0</v>
      </c>
    </row>
    <row r="4" spans="1:9" x14ac:dyDescent="0.2">
      <c r="A4" t="s">
        <v>13</v>
      </c>
      <c r="B4" t="s">
        <v>9</v>
      </c>
      <c r="C4" t="s">
        <v>14</v>
      </c>
      <c r="D4" s="1">
        <v>1172</v>
      </c>
      <c r="E4" s="1">
        <v>83</v>
      </c>
      <c r="F4" s="1">
        <v>4</v>
      </c>
      <c r="G4" s="1">
        <v>0</v>
      </c>
      <c r="H4" s="1">
        <v>0</v>
      </c>
    </row>
    <row r="5" spans="1:9" x14ac:dyDescent="0.2">
      <c r="A5" t="s">
        <v>15</v>
      </c>
      <c r="B5" t="s">
        <v>9</v>
      </c>
      <c r="C5" t="s">
        <v>16</v>
      </c>
      <c r="D5" s="1">
        <v>2142</v>
      </c>
      <c r="E5" s="1">
        <v>73</v>
      </c>
      <c r="F5" s="1">
        <v>9</v>
      </c>
      <c r="G5" s="1">
        <v>2</v>
      </c>
      <c r="H5" s="1">
        <v>6</v>
      </c>
    </row>
    <row r="6" spans="1:9" x14ac:dyDescent="0.2">
      <c r="A6" t="s">
        <v>17</v>
      </c>
      <c r="B6" t="s">
        <v>9</v>
      </c>
      <c r="C6" t="s">
        <v>18</v>
      </c>
      <c r="D6" s="1">
        <v>954</v>
      </c>
      <c r="E6" s="1">
        <v>87</v>
      </c>
      <c r="F6" s="1">
        <v>5</v>
      </c>
      <c r="G6" s="1">
        <v>1</v>
      </c>
      <c r="H6" s="1">
        <v>0</v>
      </c>
    </row>
    <row r="7" spans="1:9" x14ac:dyDescent="0.2">
      <c r="A7" t="s">
        <v>19</v>
      </c>
      <c r="B7" t="s">
        <v>9</v>
      </c>
      <c r="C7" t="s">
        <v>20</v>
      </c>
      <c r="D7" s="1">
        <v>731</v>
      </c>
      <c r="E7" s="1">
        <v>60</v>
      </c>
      <c r="F7" s="1">
        <v>8</v>
      </c>
      <c r="G7" s="1">
        <v>4</v>
      </c>
      <c r="H7" s="1">
        <v>0</v>
      </c>
    </row>
    <row r="8" spans="1:9" x14ac:dyDescent="0.2">
      <c r="A8" t="s">
        <v>21</v>
      </c>
      <c r="B8" t="s">
        <v>9</v>
      </c>
      <c r="C8" t="s">
        <v>22</v>
      </c>
      <c r="D8" s="1">
        <v>443</v>
      </c>
      <c r="E8" s="1">
        <v>20</v>
      </c>
      <c r="F8" s="1">
        <v>4</v>
      </c>
      <c r="G8" s="1">
        <v>1</v>
      </c>
      <c r="H8" s="1">
        <v>0</v>
      </c>
    </row>
    <row r="9" spans="1:9" x14ac:dyDescent="0.2">
      <c r="A9" t="s">
        <v>23</v>
      </c>
      <c r="B9" t="s">
        <v>9</v>
      </c>
      <c r="C9" t="s">
        <v>24</v>
      </c>
      <c r="D9" s="1">
        <v>485</v>
      </c>
      <c r="E9" s="1">
        <v>27</v>
      </c>
      <c r="F9" s="1">
        <v>4</v>
      </c>
      <c r="G9" s="1">
        <v>0</v>
      </c>
      <c r="H9" s="1">
        <v>3</v>
      </c>
    </row>
    <row r="10" spans="1:9" x14ac:dyDescent="0.2">
      <c r="A10" t="s">
        <v>25</v>
      </c>
      <c r="B10" t="s">
        <v>9</v>
      </c>
      <c r="C10" t="s">
        <v>26</v>
      </c>
      <c r="D10" s="1">
        <v>1561</v>
      </c>
      <c r="E10" s="1">
        <v>59</v>
      </c>
      <c r="F10" s="1">
        <v>2</v>
      </c>
      <c r="G10" s="1">
        <v>2</v>
      </c>
      <c r="H10" s="1">
        <v>13</v>
      </c>
    </row>
    <row r="11" spans="1:9" x14ac:dyDescent="0.2">
      <c r="A11" t="s">
        <v>27</v>
      </c>
      <c r="B11" t="s">
        <v>9</v>
      </c>
      <c r="C11" t="s">
        <v>28</v>
      </c>
      <c r="D11" s="1">
        <v>404</v>
      </c>
      <c r="E11" s="1">
        <v>9</v>
      </c>
      <c r="F11" s="1">
        <v>3</v>
      </c>
      <c r="G11" s="1">
        <v>0</v>
      </c>
      <c r="H11" s="1">
        <v>0</v>
      </c>
    </row>
    <row r="12" spans="1:9" x14ac:dyDescent="0.2">
      <c r="A12" t="s">
        <v>29</v>
      </c>
      <c r="B12" t="s">
        <v>9</v>
      </c>
      <c r="C12" t="s">
        <v>30</v>
      </c>
      <c r="D12" s="1">
        <v>828</v>
      </c>
      <c r="E12" s="1">
        <v>48</v>
      </c>
      <c r="F12" s="1">
        <v>4</v>
      </c>
      <c r="G12" s="1">
        <v>0</v>
      </c>
      <c r="H12" s="1">
        <v>0</v>
      </c>
    </row>
    <row r="13" spans="1:9" x14ac:dyDescent="0.2">
      <c r="A13" t="s">
        <v>31</v>
      </c>
      <c r="B13" t="s">
        <v>9</v>
      </c>
      <c r="C13" t="s">
        <v>32</v>
      </c>
      <c r="D13" s="1">
        <v>575</v>
      </c>
      <c r="E13" s="1">
        <v>36</v>
      </c>
      <c r="F13" s="1">
        <v>5</v>
      </c>
      <c r="G13" s="1">
        <v>0</v>
      </c>
      <c r="H13" s="1">
        <v>0</v>
      </c>
    </row>
    <row r="14" spans="1:9" x14ac:dyDescent="0.2">
      <c r="A14" t="s">
        <v>33</v>
      </c>
      <c r="B14" t="s">
        <v>9</v>
      </c>
      <c r="C14" t="s">
        <v>34</v>
      </c>
      <c r="D14" s="1">
        <v>233</v>
      </c>
      <c r="E14" s="1">
        <v>6</v>
      </c>
      <c r="F14" s="1">
        <v>3</v>
      </c>
      <c r="G14" s="1">
        <v>0</v>
      </c>
      <c r="H14" s="1">
        <v>0</v>
      </c>
    </row>
    <row r="15" spans="1:9" x14ac:dyDescent="0.2">
      <c r="A15" t="s">
        <v>35</v>
      </c>
      <c r="B15" t="s">
        <v>9</v>
      </c>
      <c r="C15" t="s">
        <v>36</v>
      </c>
      <c r="D15" s="1">
        <v>1261</v>
      </c>
      <c r="E15" s="1">
        <v>108</v>
      </c>
      <c r="F15" s="1">
        <v>4</v>
      </c>
      <c r="G15" s="1">
        <v>2</v>
      </c>
      <c r="H15" s="1">
        <v>1</v>
      </c>
    </row>
    <row r="16" spans="1:9" x14ac:dyDescent="0.2">
      <c r="A16" t="s">
        <v>37</v>
      </c>
      <c r="B16" t="s">
        <v>9</v>
      </c>
      <c r="C16" t="s">
        <v>38</v>
      </c>
      <c r="D16" s="1">
        <v>389</v>
      </c>
      <c r="E16" s="1">
        <v>6</v>
      </c>
      <c r="F16" s="1">
        <v>1</v>
      </c>
      <c r="G16" s="1">
        <v>0</v>
      </c>
      <c r="H16" s="1">
        <v>0</v>
      </c>
    </row>
    <row r="17" spans="1:8" x14ac:dyDescent="0.2">
      <c r="A17" t="s">
        <v>39</v>
      </c>
      <c r="B17" t="s">
        <v>9</v>
      </c>
      <c r="C17" t="s">
        <v>40</v>
      </c>
      <c r="D17" s="1">
        <v>1048</v>
      </c>
      <c r="E17" s="1">
        <v>40</v>
      </c>
      <c r="F17" s="1">
        <v>3</v>
      </c>
      <c r="G17" s="1">
        <v>2</v>
      </c>
      <c r="H17" s="1">
        <v>3</v>
      </c>
    </row>
    <row r="18" spans="1:8" x14ac:dyDescent="0.2">
      <c r="A18" t="s">
        <v>41</v>
      </c>
      <c r="B18" t="s">
        <v>9</v>
      </c>
      <c r="C18" t="s">
        <v>42</v>
      </c>
      <c r="D18" s="1">
        <v>1040</v>
      </c>
      <c r="E18" s="1">
        <v>52</v>
      </c>
      <c r="F18" s="1">
        <v>4</v>
      </c>
      <c r="G18" s="1">
        <v>0</v>
      </c>
      <c r="H18" s="1">
        <v>0</v>
      </c>
    </row>
    <row r="19" spans="1:8" x14ac:dyDescent="0.2">
      <c r="A19" t="s">
        <v>43</v>
      </c>
      <c r="B19" t="s">
        <v>9</v>
      </c>
      <c r="C19" t="s">
        <v>86</v>
      </c>
      <c r="D19" s="1">
        <v>206</v>
      </c>
      <c r="E19" s="1">
        <v>8</v>
      </c>
      <c r="F19" s="1">
        <v>1</v>
      </c>
      <c r="G19" s="1">
        <v>0</v>
      </c>
      <c r="H19" s="1">
        <v>0</v>
      </c>
    </row>
    <row r="20" spans="1:8" x14ac:dyDescent="0.2">
      <c r="A20" t="s">
        <v>44</v>
      </c>
      <c r="B20" t="s">
        <v>9</v>
      </c>
      <c r="C20" t="s">
        <v>45</v>
      </c>
      <c r="D20" s="1">
        <v>1478</v>
      </c>
      <c r="E20" s="1">
        <v>93</v>
      </c>
      <c r="F20" s="1">
        <v>6</v>
      </c>
      <c r="G20" s="1">
        <v>1</v>
      </c>
      <c r="H20" s="1">
        <v>0</v>
      </c>
    </row>
    <row r="21" spans="1:8" x14ac:dyDescent="0.2">
      <c r="A21" t="s">
        <v>46</v>
      </c>
      <c r="B21" t="s">
        <v>9</v>
      </c>
      <c r="C21" t="s">
        <v>47</v>
      </c>
      <c r="D21" s="1">
        <v>2011</v>
      </c>
      <c r="E21" s="1">
        <v>119</v>
      </c>
      <c r="F21" s="1">
        <v>7</v>
      </c>
      <c r="G21" s="1">
        <v>2</v>
      </c>
      <c r="H21" s="1">
        <v>1</v>
      </c>
    </row>
    <row r="22" spans="1:8" x14ac:dyDescent="0.2">
      <c r="A22" t="s">
        <v>48</v>
      </c>
      <c r="B22" t="s">
        <v>9</v>
      </c>
      <c r="C22" t="s">
        <v>49</v>
      </c>
      <c r="D22" s="1">
        <v>2540</v>
      </c>
      <c r="E22" s="1">
        <v>155</v>
      </c>
      <c r="F22" s="1">
        <v>13</v>
      </c>
      <c r="G22" s="1">
        <v>2</v>
      </c>
      <c r="H22" s="1">
        <v>1</v>
      </c>
    </row>
    <row r="23" spans="1:8" x14ac:dyDescent="0.2">
      <c r="A23" t="s">
        <v>50</v>
      </c>
      <c r="B23" t="s">
        <v>9</v>
      </c>
      <c r="C23" t="s">
        <v>51</v>
      </c>
      <c r="D23" s="1">
        <v>1070</v>
      </c>
      <c r="E23" s="1">
        <v>48</v>
      </c>
      <c r="F23" s="1">
        <v>5</v>
      </c>
      <c r="G23" s="1">
        <v>2</v>
      </c>
      <c r="H23" s="1">
        <v>1</v>
      </c>
    </row>
    <row r="24" spans="1:8" x14ac:dyDescent="0.2">
      <c r="A24" t="s">
        <v>52</v>
      </c>
      <c r="B24" t="s">
        <v>9</v>
      </c>
      <c r="C24" t="s">
        <v>53</v>
      </c>
      <c r="D24" s="1">
        <v>2662</v>
      </c>
      <c r="E24" s="1">
        <v>121</v>
      </c>
      <c r="F24" s="1">
        <v>16</v>
      </c>
      <c r="G24" s="1">
        <v>4</v>
      </c>
      <c r="H24" s="1">
        <v>0</v>
      </c>
    </row>
    <row r="25" spans="1:8" x14ac:dyDescent="0.2">
      <c r="A25" t="s">
        <v>54</v>
      </c>
      <c r="B25" t="s">
        <v>9</v>
      </c>
      <c r="C25" t="s">
        <v>55</v>
      </c>
      <c r="D25" s="1">
        <v>1723</v>
      </c>
      <c r="E25" s="1">
        <v>91</v>
      </c>
      <c r="F25" s="1">
        <v>5</v>
      </c>
      <c r="G25" s="1">
        <v>3</v>
      </c>
      <c r="H25" s="1">
        <v>1</v>
      </c>
    </row>
    <row r="26" spans="1:8" x14ac:dyDescent="0.2">
      <c r="A26" t="s">
        <v>56</v>
      </c>
      <c r="B26" t="s">
        <v>9</v>
      </c>
      <c r="C26" t="s">
        <v>57</v>
      </c>
      <c r="D26" s="1">
        <v>1865</v>
      </c>
      <c r="E26" s="1">
        <v>130</v>
      </c>
      <c r="F26" s="1">
        <v>10</v>
      </c>
      <c r="G26" s="1">
        <v>1</v>
      </c>
      <c r="H26" s="1">
        <v>1</v>
      </c>
    </row>
    <row r="27" spans="1:8" x14ac:dyDescent="0.2">
      <c r="A27" t="s">
        <v>58</v>
      </c>
      <c r="B27" t="s">
        <v>9</v>
      </c>
      <c r="C27" t="s">
        <v>59</v>
      </c>
      <c r="D27" s="1">
        <v>1357</v>
      </c>
      <c r="E27" s="1">
        <v>88</v>
      </c>
      <c r="F27" s="1">
        <v>5</v>
      </c>
      <c r="G27" s="1">
        <v>2</v>
      </c>
      <c r="H27" s="1">
        <v>1</v>
      </c>
    </row>
    <row r="28" spans="1:8" x14ac:dyDescent="0.2">
      <c r="A28" t="s">
        <v>60</v>
      </c>
      <c r="B28" t="s">
        <v>9</v>
      </c>
      <c r="C28" t="s">
        <v>61</v>
      </c>
      <c r="D28" s="1">
        <v>1205</v>
      </c>
      <c r="E28" s="1">
        <v>62</v>
      </c>
      <c r="F28" s="1">
        <v>4</v>
      </c>
      <c r="G28" s="1">
        <v>0</v>
      </c>
      <c r="H28" s="1">
        <v>0</v>
      </c>
    </row>
    <row r="29" spans="1:8" x14ac:dyDescent="0.2">
      <c r="A29" t="s">
        <v>62</v>
      </c>
      <c r="B29" t="s">
        <v>9</v>
      </c>
      <c r="C29" t="s">
        <v>63</v>
      </c>
      <c r="D29" s="1">
        <v>1267</v>
      </c>
      <c r="E29" s="1">
        <v>34</v>
      </c>
      <c r="F29" s="1">
        <v>5</v>
      </c>
      <c r="G29" s="1">
        <v>1</v>
      </c>
      <c r="H29" s="1">
        <v>0</v>
      </c>
    </row>
    <row r="30" spans="1:8" x14ac:dyDescent="0.2">
      <c r="A30" t="s">
        <v>64</v>
      </c>
      <c r="B30" t="s">
        <v>9</v>
      </c>
      <c r="C30" t="s">
        <v>65</v>
      </c>
      <c r="D30" s="1">
        <v>389</v>
      </c>
      <c r="E30" s="1">
        <v>4</v>
      </c>
      <c r="F30" s="1">
        <v>3</v>
      </c>
      <c r="G30" s="1">
        <v>0</v>
      </c>
      <c r="H30" s="1">
        <v>0</v>
      </c>
    </row>
    <row r="31" spans="1:8" x14ac:dyDescent="0.2">
      <c r="A31" t="s">
        <v>66</v>
      </c>
      <c r="B31" t="s">
        <v>9</v>
      </c>
      <c r="C31" t="s">
        <v>67</v>
      </c>
      <c r="D31" s="1">
        <v>514</v>
      </c>
      <c r="E31" s="1">
        <v>19</v>
      </c>
      <c r="F31" s="1">
        <v>3</v>
      </c>
      <c r="G31" s="1">
        <v>0</v>
      </c>
      <c r="H31" s="1">
        <v>0</v>
      </c>
    </row>
    <row r="32" spans="1:8" x14ac:dyDescent="0.2">
      <c r="A32" t="s">
        <v>68</v>
      </c>
      <c r="B32" t="s">
        <v>9</v>
      </c>
      <c r="C32" t="s">
        <v>69</v>
      </c>
      <c r="D32" s="1">
        <v>425</v>
      </c>
      <c r="E32" s="1">
        <v>4</v>
      </c>
      <c r="F32" s="1">
        <v>1</v>
      </c>
      <c r="G32" s="1">
        <v>0</v>
      </c>
      <c r="H32" s="1">
        <v>0</v>
      </c>
    </row>
    <row r="33" spans="1:9" x14ac:dyDescent="0.2">
      <c r="A33" t="s">
        <v>70</v>
      </c>
      <c r="B33" t="s">
        <v>9</v>
      </c>
      <c r="C33" t="s">
        <v>71</v>
      </c>
      <c r="D33" s="1">
        <v>778</v>
      </c>
      <c r="E33" s="1">
        <v>57</v>
      </c>
      <c r="F33" s="1">
        <v>4</v>
      </c>
      <c r="G33" s="1">
        <v>2</v>
      </c>
      <c r="H33" s="1">
        <v>0</v>
      </c>
    </row>
    <row r="34" spans="1:9" x14ac:dyDescent="0.2">
      <c r="A34" t="s">
        <v>72</v>
      </c>
      <c r="B34" t="s">
        <v>9</v>
      </c>
      <c r="C34" t="s">
        <v>73</v>
      </c>
      <c r="D34" s="1">
        <v>1365</v>
      </c>
      <c r="E34" s="1">
        <v>113</v>
      </c>
      <c r="F34" s="1">
        <v>5</v>
      </c>
      <c r="G34" s="1">
        <v>0</v>
      </c>
      <c r="H34" s="1">
        <v>0</v>
      </c>
    </row>
    <row r="35" spans="1:9" x14ac:dyDescent="0.2">
      <c r="A35" t="s">
        <v>74</v>
      </c>
      <c r="B35" t="s">
        <v>9</v>
      </c>
      <c r="C35" t="s">
        <v>75</v>
      </c>
      <c r="D35" s="1">
        <v>1776</v>
      </c>
      <c r="E35" s="1">
        <v>92</v>
      </c>
      <c r="F35" s="1">
        <v>8</v>
      </c>
      <c r="G35" s="1">
        <v>1</v>
      </c>
      <c r="H35" s="1">
        <v>4</v>
      </c>
    </row>
    <row r="36" spans="1:9" x14ac:dyDescent="0.2">
      <c r="A36" t="s">
        <v>76</v>
      </c>
      <c r="B36" t="s">
        <v>9</v>
      </c>
      <c r="C36" t="s">
        <v>77</v>
      </c>
      <c r="D36" s="1">
        <v>2096</v>
      </c>
      <c r="E36" s="1">
        <v>87</v>
      </c>
      <c r="F36" s="1">
        <v>9</v>
      </c>
      <c r="G36" s="1">
        <v>0</v>
      </c>
      <c r="H36" s="1">
        <v>2</v>
      </c>
    </row>
    <row r="37" spans="1:9" x14ac:dyDescent="0.2">
      <c r="A37" t="s">
        <v>78</v>
      </c>
      <c r="B37" t="s">
        <v>9</v>
      </c>
      <c r="C37" t="s">
        <v>79</v>
      </c>
      <c r="D37" s="1">
        <v>1568</v>
      </c>
      <c r="E37" s="1">
        <v>61</v>
      </c>
      <c r="F37" s="1">
        <v>4</v>
      </c>
      <c r="G37" s="1">
        <v>2</v>
      </c>
      <c r="H37" s="1">
        <v>0</v>
      </c>
    </row>
    <row r="38" spans="1:9" x14ac:dyDescent="0.2">
      <c r="A38" t="s">
        <v>80</v>
      </c>
      <c r="B38" t="s">
        <v>9</v>
      </c>
      <c r="C38" t="s">
        <v>81</v>
      </c>
      <c r="D38" s="1">
        <v>736</v>
      </c>
      <c r="E38" s="1">
        <v>14</v>
      </c>
      <c r="F38" s="1">
        <v>1</v>
      </c>
      <c r="G38" s="1">
        <v>0</v>
      </c>
      <c r="H38" s="1">
        <v>2</v>
      </c>
    </row>
    <row r="39" spans="1:9" x14ac:dyDescent="0.2">
      <c r="A39" t="s">
        <v>82</v>
      </c>
      <c r="B39" t="s">
        <v>9</v>
      </c>
      <c r="C39" t="s">
        <v>83</v>
      </c>
      <c r="D39" s="1">
        <v>924</v>
      </c>
      <c r="E39" s="1">
        <v>70</v>
      </c>
      <c r="F39" s="1">
        <v>4</v>
      </c>
      <c r="G39" s="1">
        <v>2</v>
      </c>
      <c r="H39" s="1">
        <v>0</v>
      </c>
    </row>
    <row r="40" spans="1:9" x14ac:dyDescent="0.2">
      <c r="A40" t="s">
        <v>84</v>
      </c>
      <c r="B40" t="s">
        <v>9</v>
      </c>
      <c r="C40" t="s">
        <v>85</v>
      </c>
      <c r="D40" s="1">
        <v>2535</v>
      </c>
      <c r="E40" s="1">
        <v>107</v>
      </c>
      <c r="F40" s="1">
        <v>11</v>
      </c>
      <c r="G40" s="1">
        <v>4</v>
      </c>
      <c r="H40" s="1">
        <v>1</v>
      </c>
    </row>
    <row r="41" spans="1:9" x14ac:dyDescent="0.2">
      <c r="A41" t="s">
        <v>87</v>
      </c>
      <c r="D41">
        <f>SUMIF($C:$C,"*Apple Music*",D:D)</f>
        <v>44146</v>
      </c>
      <c r="E41">
        <f t="shared" ref="E41:H41" si="0">SUMIF($C:$C,"*Apple Music*",E:E)</f>
        <v>2306</v>
      </c>
      <c r="F41">
        <f t="shared" si="0"/>
        <v>193</v>
      </c>
      <c r="G41">
        <f t="shared" si="0"/>
        <v>39</v>
      </c>
      <c r="H41">
        <f t="shared" si="0"/>
        <v>42</v>
      </c>
    </row>
    <row r="42" spans="1:9" x14ac:dyDescent="0.2">
      <c r="A42" t="s">
        <v>88</v>
      </c>
      <c r="D42">
        <f>SUMIF($C:$C,"*remake*",D:D)</f>
        <v>731</v>
      </c>
      <c r="E42">
        <f t="shared" ref="E42:H42" si="1">SUMIF($C:$C,"*remake*",E:E)</f>
        <v>60</v>
      </c>
      <c r="F42">
        <f t="shared" si="1"/>
        <v>8</v>
      </c>
      <c r="G42">
        <f t="shared" si="1"/>
        <v>4</v>
      </c>
      <c r="H42">
        <f t="shared" si="1"/>
        <v>0</v>
      </c>
    </row>
    <row r="43" spans="1:9" x14ac:dyDescent="0.2">
      <c r="A43" t="s">
        <v>89</v>
      </c>
      <c r="D43" s="1">
        <f>SUM(D2:D40)</f>
        <v>44877</v>
      </c>
      <c r="E43" s="1">
        <f t="shared" ref="E43:H43" si="2">SUM(E2:E40)</f>
        <v>2366</v>
      </c>
      <c r="F43" s="1">
        <f t="shared" si="2"/>
        <v>201</v>
      </c>
      <c r="G43" s="1">
        <f t="shared" si="2"/>
        <v>43</v>
      </c>
      <c r="H43" s="1">
        <f t="shared" si="2"/>
        <v>42</v>
      </c>
      <c r="I43">
        <v>235</v>
      </c>
    </row>
  </sheetData>
  <pageMargins left="0.7" right="0.7" top="0.75" bottom="0.75" header="0.3" footer="0.3"/>
  <ignoredErrors>
    <ignoredError sqref="A1:H17 A20:H40 A19:B19 D19:H19 A18:B18 D18:H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宇航 裴</cp:lastModifiedBy>
  <dcterms:modified xsi:type="dcterms:W3CDTF">2026-09-19T13:25:29Z</dcterms:modified>
</cp:coreProperties>
</file>